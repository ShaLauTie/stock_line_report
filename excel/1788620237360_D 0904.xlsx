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998C011F-200D-4665-9E09-DF086A30E0A2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7" l="1"/>
  <c r="D13" i="2"/>
  <c r="D12" i="2"/>
  <c r="D11" i="2"/>
  <c r="D10" i="2"/>
  <c r="F10" i="2" s="1"/>
  <c r="D7" i="17" s="1"/>
  <c r="D9" i="2"/>
  <c r="D8" i="2"/>
  <c r="D7" i="2"/>
  <c r="D6" i="2"/>
  <c r="D5" i="2"/>
  <c r="F5" i="2" s="1"/>
  <c r="D5" i="17" s="1"/>
  <c r="D4" i="2"/>
  <c r="F4" i="2" s="1"/>
  <c r="E5" i="2"/>
  <c r="R170" i="36"/>
  <c r="Q170" i="36"/>
  <c r="P170" i="36"/>
  <c r="O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R163" i="36"/>
  <c r="Q163" i="36"/>
  <c r="P163" i="36"/>
  <c r="O163" i="36"/>
  <c r="N163" i="36"/>
  <c r="R162" i="36"/>
  <c r="Q162" i="36"/>
  <c r="P162" i="36"/>
  <c r="O162" i="36"/>
  <c r="N162" i="36"/>
  <c r="R161" i="36"/>
  <c r="Q161" i="36"/>
  <c r="P161" i="36"/>
  <c r="O161" i="36"/>
  <c r="N161" i="36"/>
  <c r="R160" i="36"/>
  <c r="Q160" i="36"/>
  <c r="P160" i="36"/>
  <c r="O160" i="36"/>
  <c r="N160" i="36"/>
  <c r="R159" i="36"/>
  <c r="Q159" i="36"/>
  <c r="P159" i="36"/>
  <c r="O159" i="36"/>
  <c r="N159" i="36"/>
  <c r="R158" i="36"/>
  <c r="Q158" i="36"/>
  <c r="P158" i="36"/>
  <c r="O158" i="36"/>
  <c r="N158" i="36"/>
  <c r="R157" i="36"/>
  <c r="Q157" i="36"/>
  <c r="P157" i="36"/>
  <c r="O157" i="36"/>
  <c r="N157" i="36"/>
  <c r="F11" i="2"/>
  <c r="D10" i="17" s="1"/>
  <c r="F9" i="2"/>
  <c r="D12" i="17" s="1"/>
  <c r="I13" i="17"/>
  <c r="G13" i="17"/>
  <c r="F11" i="17"/>
  <c r="F9" i="17"/>
  <c r="F8" i="17"/>
  <c r="F7" i="17"/>
  <c r="F3" i="17"/>
  <c r="C22" i="2"/>
  <c r="D17" i="17" s="1"/>
  <c r="H17" i="17" s="1"/>
  <c r="J17" i="17" s="1"/>
  <c r="F7" i="2"/>
  <c r="D8" i="17" s="1"/>
  <c r="F8" i="2"/>
  <c r="D11" i="17" s="1"/>
  <c r="F12" i="2"/>
  <c r="D9" i="17" s="1"/>
  <c r="D19" i="17"/>
  <c r="D18" i="17"/>
  <c r="H18" i="17" s="1"/>
  <c r="J18" i="17" s="1"/>
  <c r="F13" i="2"/>
  <c r="D6" i="17" s="1"/>
  <c r="I7" i="36"/>
  <c r="J7" i="36"/>
  <c r="G7" i="36"/>
  <c r="C6" i="2"/>
  <c r="E13" i="2"/>
  <c r="F6" i="17" s="1"/>
  <c r="E6" i="2"/>
  <c r="R156" i="36"/>
  <c r="Q156" i="36"/>
  <c r="N156" i="36"/>
  <c r="R155" i="36"/>
  <c r="Q155" i="36"/>
  <c r="N155" i="36"/>
  <c r="H19" i="17"/>
  <c r="J19" i="17" s="1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8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9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30" i="2"/>
  <c r="O15" i="17"/>
  <c r="H14" i="17"/>
  <c r="J14" i="17"/>
  <c r="O14" i="17"/>
  <c r="D15" i="17"/>
  <c r="G15" i="17"/>
  <c r="S7" i="36"/>
  <c r="T7" i="36"/>
  <c r="B3" i="36"/>
  <c r="P141" i="36"/>
  <c r="P147" i="36"/>
  <c r="P108" i="36"/>
  <c r="P31" i="36"/>
  <c r="P153" i="36"/>
  <c r="P55" i="36"/>
  <c r="P65" i="36"/>
  <c r="P138" i="36"/>
  <c r="P102" i="36"/>
  <c r="P98" i="36"/>
  <c r="P88" i="36"/>
  <c r="P107" i="36"/>
  <c r="P16" i="36"/>
  <c r="P12" i="36"/>
  <c r="P94" i="36"/>
  <c r="P117" i="36"/>
  <c r="P32" i="36"/>
  <c r="P144" i="36"/>
  <c r="P52" i="36"/>
  <c r="P115" i="36"/>
  <c r="P26" i="36"/>
  <c r="P19" i="36"/>
  <c r="P128" i="36"/>
  <c r="P48" i="36"/>
  <c r="P8" i="36"/>
  <c r="P51" i="36"/>
  <c r="P83" i="36"/>
  <c r="P148" i="36"/>
  <c r="P37" i="36"/>
  <c r="P60" i="36"/>
  <c r="P105" i="36"/>
  <c r="P73" i="36"/>
  <c r="P28" i="36"/>
  <c r="P68" i="36"/>
  <c r="P21" i="36"/>
  <c r="P57" i="36"/>
  <c r="P39" i="36"/>
  <c r="P24" i="36"/>
  <c r="P47" i="36"/>
  <c r="P132" i="36"/>
  <c r="P20" i="36"/>
  <c r="P133" i="36"/>
  <c r="P76" i="36"/>
  <c r="P22" i="36"/>
  <c r="P43" i="36"/>
  <c r="P66" i="36"/>
  <c r="P97" i="36"/>
  <c r="P137" i="36"/>
  <c r="P70" i="36"/>
  <c r="P143" i="36"/>
  <c r="P82" i="36"/>
  <c r="P152" i="36"/>
  <c r="P136" i="36"/>
  <c r="P50" i="36"/>
  <c r="P110" i="36"/>
  <c r="P87" i="36"/>
  <c r="P100" i="36"/>
  <c r="P146" i="36"/>
  <c r="P17" i="36"/>
  <c r="P114" i="36"/>
  <c r="P106" i="36"/>
  <c r="P54" i="36"/>
  <c r="P74" i="36"/>
  <c r="P69" i="36"/>
  <c r="P78" i="36"/>
  <c r="P27" i="36"/>
  <c r="P40" i="36"/>
  <c r="P84" i="36"/>
  <c r="P15" i="36"/>
  <c r="P81" i="36"/>
  <c r="P103" i="36"/>
  <c r="P71" i="36"/>
  <c r="P42" i="36"/>
  <c r="P89" i="36"/>
  <c r="P11" i="36"/>
  <c r="P91" i="36"/>
  <c r="P63" i="36"/>
  <c r="P59" i="36"/>
  <c r="P125" i="36"/>
  <c r="P35" i="36"/>
  <c r="P13" i="36"/>
  <c r="P90" i="36"/>
  <c r="P101" i="36"/>
  <c r="P120" i="36"/>
  <c r="P72" i="36"/>
  <c r="P95" i="36"/>
  <c r="P86" i="36"/>
  <c r="P155" i="36"/>
  <c r="P151" i="36"/>
  <c r="P150" i="36"/>
  <c r="P139" i="36"/>
  <c r="P49" i="36"/>
  <c r="P67" i="36"/>
  <c r="P18" i="36"/>
  <c r="P127" i="36"/>
  <c r="P75" i="36"/>
  <c r="P85" i="36"/>
  <c r="P149" i="36"/>
  <c r="P130" i="36"/>
  <c r="P131" i="36"/>
  <c r="P113" i="36"/>
  <c r="P23" i="36"/>
  <c r="P111" i="36"/>
  <c r="P38" i="36"/>
  <c r="P44" i="36"/>
  <c r="P79" i="36"/>
  <c r="P9" i="36"/>
  <c r="P99" i="36"/>
  <c r="P124" i="36"/>
  <c r="P92" i="36"/>
  <c r="P41" i="36"/>
  <c r="P64" i="36"/>
  <c r="P121" i="36"/>
  <c r="P122" i="36"/>
  <c r="P33" i="36"/>
  <c r="P109" i="36"/>
  <c r="P36" i="36"/>
  <c r="P116" i="36"/>
  <c r="P140" i="36"/>
  <c r="P119" i="36"/>
  <c r="P14" i="36"/>
  <c r="P145" i="36"/>
  <c r="P93" i="36"/>
  <c r="P96" i="36"/>
  <c r="P154" i="36"/>
  <c r="P10" i="36"/>
  <c r="P25" i="36"/>
  <c r="P62" i="36"/>
  <c r="P123" i="36"/>
  <c r="P112" i="36"/>
  <c r="P34" i="36"/>
  <c r="P45" i="36"/>
  <c r="P56" i="36"/>
  <c r="O156" i="36"/>
  <c r="O155" i="36"/>
  <c r="O154" i="36"/>
  <c r="O153" i="36"/>
  <c r="O89" i="36"/>
  <c r="O86" i="36"/>
  <c r="O45" i="36"/>
  <c r="O65" i="36"/>
  <c r="O36" i="36"/>
  <c r="O15" i="36"/>
  <c r="O55" i="36"/>
  <c r="O80" i="36"/>
  <c r="O67" i="36"/>
  <c r="O49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34" i="36"/>
  <c r="O133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74" i="36"/>
  <c r="O18" i="36"/>
  <c r="O79" i="36"/>
  <c r="O78" i="36"/>
  <c r="O43" i="36"/>
  <c r="O152" i="36"/>
  <c r="O61" i="36"/>
  <c r="O124" i="36"/>
  <c r="O52" i="36"/>
  <c r="O139" i="36"/>
  <c r="O128" i="36"/>
  <c r="O109" i="36"/>
  <c r="O101" i="36"/>
  <c r="O8" i="36"/>
  <c r="O25" i="36"/>
  <c r="O22" i="36"/>
  <c r="O88" i="36"/>
  <c r="O92" i="36"/>
  <c r="O10" i="36"/>
  <c r="O31" i="36"/>
  <c r="O69" i="36"/>
  <c r="O119" i="36"/>
  <c r="O116" i="36"/>
  <c r="O143" i="36"/>
  <c r="O54" i="36"/>
  <c r="O58" i="36"/>
  <c r="O46" i="36"/>
  <c r="O56" i="36"/>
  <c r="O95" i="36"/>
  <c r="O96" i="36"/>
  <c r="O93" i="36"/>
  <c r="O29" i="36"/>
  <c r="O114" i="36"/>
  <c r="O28" i="36"/>
  <c r="O23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5" i="17" l="1"/>
  <c r="H5" i="17"/>
  <c r="J5" i="17" s="1"/>
  <c r="H15" i="17"/>
  <c r="J15" i="17" s="1"/>
  <c r="G21" i="17"/>
  <c r="P104" i="36"/>
  <c r="P29" i="36"/>
  <c r="P77" i="36"/>
  <c r="P129" i="36"/>
  <c r="P61" i="36"/>
  <c r="P58" i="36"/>
  <c r="P142" i="36"/>
  <c r="P46" i="36"/>
  <c r="P156" i="36"/>
  <c r="P53" i="36"/>
  <c r="P30" i="36"/>
  <c r="P80" i="36"/>
  <c r="P118" i="36"/>
  <c r="P126" i="36"/>
  <c r="F6" i="2"/>
  <c r="D4" i="17" s="1"/>
  <c r="F4" i="17"/>
  <c r="F13" i="17" s="1"/>
  <c r="E16" i="2"/>
  <c r="O10" i="17"/>
  <c r="H10" i="17"/>
  <c r="J10" i="17" s="1"/>
  <c r="H8" i="17"/>
  <c r="J8" i="17" s="1"/>
  <c r="O8" i="17"/>
  <c r="O11" i="17"/>
  <c r="H11" i="17"/>
  <c r="J11" i="17" s="1"/>
  <c r="O7" i="17"/>
  <c r="H7" i="17"/>
  <c r="J7" i="17" s="1"/>
  <c r="O9" i="17"/>
  <c r="H9" i="17"/>
  <c r="J9" i="17" s="1"/>
  <c r="O6" i="17"/>
  <c r="H6" i="17"/>
  <c r="J6" i="17" s="1"/>
  <c r="H12" i="17"/>
  <c r="J12" i="17" s="1"/>
  <c r="O12" i="17"/>
  <c r="D3" i="17"/>
  <c r="F16" i="2"/>
  <c r="H4" i="17" l="1"/>
  <c r="J4" i="17" s="1"/>
  <c r="O4" i="17"/>
  <c r="F25" i="2"/>
  <c r="D13" i="17"/>
  <c r="H3" i="17"/>
  <c r="O3" i="17"/>
  <c r="O13" i="17" s="1"/>
  <c r="H29" i="2" l="1"/>
  <c r="F22" i="2"/>
  <c r="D21" i="17"/>
  <c r="E5" i="17" s="1"/>
  <c r="D20" i="17"/>
  <c r="K170" i="36"/>
  <c r="H13" i="17"/>
  <c r="J13" i="17" s="1"/>
  <c r="J3" i="17"/>
  <c r="H30" i="2" l="1"/>
  <c r="H37" i="2"/>
  <c r="H36" i="2"/>
  <c r="H32" i="2"/>
  <c r="H39" i="2"/>
  <c r="H35" i="2"/>
  <c r="H31" i="2"/>
  <c r="H38" i="2"/>
  <c r="H34" i="2"/>
  <c r="H44" i="2"/>
  <c r="H33" i="2"/>
  <c r="H43" i="2"/>
  <c r="H45" i="2"/>
  <c r="H41" i="2"/>
  <c r="H42" i="2"/>
  <c r="H40" i="2"/>
  <c r="E13" i="17"/>
  <c r="E2" i="36"/>
  <c r="E3" i="17"/>
  <c r="E19" i="17"/>
  <c r="E12" i="17"/>
  <c r="B2" i="36"/>
  <c r="D23" i="17"/>
  <c r="D24" i="17" s="1"/>
  <c r="E14" i="17"/>
  <c r="H21" i="17"/>
  <c r="J21" i="17" s="1"/>
  <c r="E9" i="17"/>
  <c r="E18" i="17"/>
  <c r="E10" i="17"/>
  <c r="E11" i="17"/>
  <c r="E17" i="17"/>
  <c r="B170" i="36"/>
  <c r="E170" i="36" s="1"/>
  <c r="E8" i="17"/>
  <c r="E4" i="17"/>
  <c r="E6" i="17"/>
  <c r="E21" i="17"/>
  <c r="E7" i="17"/>
  <c r="T170" i="36" l="1"/>
  <c r="C170" i="36"/>
  <c r="N170" i="36" s="1"/>
  <c r="S170" i="36" l="1"/>
  <c r="D16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<sst xmlns="http://schemas.openxmlformats.org/spreadsheetml/2006/main" count="124" uniqueCount="109">
  <si>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</si>
  <si>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</si>
  <si>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</si>
  <si>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</si>
  <si>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</si>
  <si>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</si>
  <si>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</si>
  <si>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</si>
  <si>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</si>
  <si>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</si>
  <si>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</si>
  <si>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</si>
  <si>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</si>
  <si>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</si>
  <si>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</si>
  <si>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</si>
  <si>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</si>
  <si>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</si>
  <si>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</si>
  <si>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</si>
  <si>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</si>
  <si>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</si>
  <si>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</si>
  <si>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</si>
  <si>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</si>
  <si>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</si>
  <si>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</si>
  <si>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</si>
  <si>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</si>
  <si>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</si>
  <si>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</si>
  <si>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</si>
  <si>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</si>
  <si>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</si>
  <si>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</si>
  <si>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</si>
  <si>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</si>
  <si>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</si>
  <si>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</si>
  <si>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</si>
  <si>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</si>
  <si>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</si>
  <si>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</si>
  <si>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</si>
  <si>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</si>
  <si>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</si>
  <si>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</si>
  <si>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</si>
  <si>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</si>
  <si>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</si>
  <si>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</si>
  <si>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</si>
  <si>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</si>
  <si>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</si>
  <si>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</si>
  <si>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</si>
  <si>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</si>
  <si>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</si>
  <si>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</si>
  <si>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</si>
  <si>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</si>
  <si>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</si>
  <si>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</si>
  <si>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</si>
  <si>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</si>
  <si>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</si>
  <si>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</si>
  <si>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</si>
  <si>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</si>
  <si>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</si>
  <si>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</si>
  <si>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</si>
  <si>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</si>
  <si>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</si>
  <si>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</si>
  <si>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</si>
  <si>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</si>
  <si>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</si>
  <si>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</si>
  <si>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</si>
  <si>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</si>
  <si>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</si>
  <si>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</si>
  <si>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</si>
  <si>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</si>
  <si>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</si>
  <si>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</si>
  <si>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</si>
  <si>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</si>
  <si>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</si>
  <si>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</si>
  <si>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</si>
  <si>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</si>
  <si>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</si>
  <si>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</si>
  <si>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萬潤</t>
    <phoneticPr fontId="1" type="noConversion"/>
  </si>
  <si>
    <t>萬潤(6187)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</si>
  <si>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</si>
  <si>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</si>
  <si>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</si>
  <si>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</si>
  <si>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</si>
  <si>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聯亞</t>
    <phoneticPr fontId="1" type="noConversion"/>
  </si>
  <si>
    <t>聯亞(3081)</t>
    <phoneticPr fontId="1" type="noConversion"/>
  </si>
  <si>
    <t>國泰金</t>
  </si>
  <si>
    <t>國泰金(2882)</t>
  </si>
  <si>
    <t>研華</t>
    <phoneticPr fontId="1" type="noConversion"/>
  </si>
  <si>
    <t>研華(2395)</t>
    <phoneticPr fontId="1" type="noConversion"/>
  </si>
  <si>
    <t>邊緣運算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</si>
</sst>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總表!$A$7:$A$174</c:f>
              <c:numCache>
                <c:formatCode>m/d/yyyy</c:formatCode>
                <c:ptCount val="16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</c:numCache>
            </c:numRef>
          </c:cat>
          <c:val>
            <c:numRef>
              <c:f>總表!$N$7:$N$174</c:f>
              <c:numCache>
                <c:formatCode>0.0%</c:formatCode>
                <c:ptCount val="168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1.0098694142420621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總表!$A$7:$A$174</c:f>
              <c:numCache>
                <c:formatCode>m/d/yyyy</c:formatCode>
                <c:ptCount val="16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</c:numCache>
            </c:numRef>
          </c:cat>
          <c:val>
            <c:numRef>
              <c:f>總表!$Q$7:$Q$174</c:f>
              <c:numCache>
                <c:formatCode>0.0%</c:formatCode>
                <c:ptCount val="168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0.60660550074515251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總表!$A$7:$A$174</c:f>
              <c:numCache>
                <c:formatCode>m/d/yyyy</c:formatCode>
                <c:ptCount val="16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</c:numCache>
            </c:numRef>
          </c:cat>
          <c:val>
            <c:numRef>
              <c:f>總表!$R$7:$R$174</c:f>
              <c:numCache>
                <c:formatCode>0.0%</c:formatCode>
                <c:ptCount val="168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0.45531097065641668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170</xdr:row>
      <xdr:rowOff>185464</xdr:rowOff>
    </xdr:from>
    <xdr:to>
      <xdr:col>20</xdr:col>
      <xdr:colOff>39252</xdr:colOff>
      <xdr:row>191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GSQ4N18\Downloads\&#32929;&#31080;&#32317;&#37096;&#20301;&#24115;20260904.xlsx" TargetMode="External"/><Relationship Id="rId1" Type="http://schemas.openxmlformats.org/officeDocument/2006/relationships/externalLinkPath" Target="&#32929;&#31080;&#32317;&#37096;&#20301;&#24115;202609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36.75</v>
          </cell>
        </row>
        <row r="5">
          <cell r="B5" t="str">
            <v>緯穎</v>
          </cell>
          <cell r="C5">
            <v>0</v>
          </cell>
          <cell r="D5">
            <v>2565</v>
          </cell>
        </row>
        <row r="6">
          <cell r="B6" t="str">
            <v>富邦金</v>
          </cell>
          <cell r="C6">
            <v>0</v>
          </cell>
          <cell r="D6">
            <v>150.5</v>
          </cell>
        </row>
        <row r="7">
          <cell r="B7" t="str">
            <v>中華立鼎</v>
          </cell>
          <cell r="C7">
            <v>6000</v>
          </cell>
          <cell r="D7">
            <v>633</v>
          </cell>
        </row>
        <row r="8">
          <cell r="B8" t="str">
            <v>國泰金</v>
          </cell>
          <cell r="C8">
            <v>0</v>
          </cell>
          <cell r="D8">
            <v>115</v>
          </cell>
        </row>
        <row r="9">
          <cell r="B9" t="str">
            <v>聯亞</v>
          </cell>
          <cell r="C9">
            <v>0</v>
          </cell>
          <cell r="D9">
            <v>3130</v>
          </cell>
        </row>
        <row r="10">
          <cell r="B10" t="str">
            <v>萬潤</v>
          </cell>
          <cell r="C10">
            <v>0</v>
          </cell>
          <cell r="D10">
            <v>1300</v>
          </cell>
        </row>
        <row r="11">
          <cell r="B11" t="str">
            <v>台新新光金</v>
          </cell>
          <cell r="C11">
            <v>0</v>
          </cell>
          <cell r="D11">
            <v>41.55</v>
          </cell>
        </row>
        <row r="12">
          <cell r="B12" t="str">
            <v>仁新</v>
          </cell>
          <cell r="C12">
            <v>38000</v>
          </cell>
          <cell r="D12">
            <v>144.5</v>
          </cell>
        </row>
        <row r="13">
          <cell r="B13" t="str">
            <v>研華</v>
          </cell>
          <cell r="C13">
            <v>0</v>
          </cell>
          <cell r="D13">
            <v>711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1"/>
  <sheetViews>
    <sheetView tabSelected="1" topLeftCell="A2" zoomScale="70" zoomScaleNormal="70" workbookViewId="0">
      <pane xSplit="1" ySplit="5" topLeftCell="B149" activePane="bottomRight" state="frozen"/>
      <selection activeCell="A2" sqref="A2"/>
      <selection pane="topRight" activeCell="B5" sqref="B5"/>
      <selection pane="bottomLeft" activeCell="B5" sqref="B5"/>
      <selection pane="bottomRight" activeCell="D150" sqref="D150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按股票分類!D21</f>
        <v>24882927</v>
      </c>
      <c r="C2" s="35"/>
      <c r="D2" s="35"/>
      <c r="E2" s="36">
        <f>按股票分類!D13/按股票分類!D21</f>
        <v>1.6160498722678405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46269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70" si="299">C157/C$7-1</f>
        <v>1.1103529566555768</v>
      </c>
      <c r="O157" s="61" t="e">
        <f t="shared" ref="O157:O170" si="300">G157/G$7-1</f>
        <v>#REF!</v>
      </c>
      <c r="P157" s="61" t="e">
        <f t="shared" ref="P157:P170" si="301">J157/J$7-1</f>
        <v>#REF!</v>
      </c>
      <c r="Q157" s="61">
        <f t="shared" ref="Q157:Q170" si="302">L157/L$7-1</f>
        <v>0.58645361164495258</v>
      </c>
      <c r="R157" s="61">
        <f t="shared" ref="R157:R170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si="299"/>
        <v>0.91120176537534836</v>
      </c>
      <c r="O163" s="61" t="e">
        <f t="shared" si="300"/>
        <v>#REF!</v>
      </c>
      <c r="P163" s="61" t="e">
        <f t="shared" si="301"/>
        <v>#REF!</v>
      </c>
      <c r="Q163" s="61">
        <f t="shared" si="302"/>
        <v>0.60519697909051673</v>
      </c>
      <c r="R163" s="61">
        <f t="shared" si="303"/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si="299"/>
        <v>0.89756178531013231</v>
      </c>
      <c r="O164" s="61" t="e">
        <f t="shared" si="300"/>
        <v>#REF!</v>
      </c>
      <c r="P164" s="61" t="e">
        <f t="shared" si="301"/>
        <v>#REF!</v>
      </c>
      <c r="Q164" s="61">
        <f t="shared" si="302"/>
        <v>0.61017308972569739</v>
      </c>
      <c r="R164" s="61">
        <f t="shared" si="303"/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299"/>
        <v>0.91640984881711951</v>
      </c>
      <c r="O165" s="61" t="e">
        <f t="shared" si="300"/>
        <v>#REF!</v>
      </c>
      <c r="P165" s="61" t="e">
        <f t="shared" si="301"/>
        <v>#REF!</v>
      </c>
      <c r="Q165" s="61">
        <f t="shared" si="302"/>
        <v>0.6230043161485499</v>
      </c>
      <c r="R165" s="61">
        <f t="shared" si="30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299"/>
        <v>0.96151924377058196</v>
      </c>
      <c r="O166" s="61" t="e">
        <f t="shared" si="300"/>
        <v>#REF!</v>
      </c>
      <c r="P166" s="61" t="e">
        <f t="shared" si="301"/>
        <v>#REF!</v>
      </c>
      <c r="Q166" s="61">
        <f t="shared" si="302"/>
        <v>0.61586309715749632</v>
      </c>
      <c r="R166" s="61">
        <f t="shared" si="30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299"/>
        <v>0.98614532522049037</v>
      </c>
      <c r="O167" s="61" t="e">
        <f t="shared" si="300"/>
        <v>#REF!</v>
      </c>
      <c r="P167" s="61" t="e">
        <f t="shared" si="301"/>
        <v>#REF!</v>
      </c>
      <c r="Q167" s="61">
        <f t="shared" si="302"/>
        <v>0.64462546028689993</v>
      </c>
      <c r="R167" s="61">
        <f t="shared" si="30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299"/>
        <v>0.94479244158292519</v>
      </c>
      <c r="O168" s="61" t="e">
        <f t="shared" si="300"/>
        <v>#REF!</v>
      </c>
      <c r="P168" s="61" t="e">
        <f t="shared" si="301"/>
        <v>#REF!</v>
      </c>
      <c r="Q168" s="61">
        <f t="shared" si="302"/>
        <v>0.61732911034780158</v>
      </c>
      <c r="R168" s="61">
        <f t="shared" si="30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si="299"/>
        <v>0.93081870735688854</v>
      </c>
      <c r="O169" s="61" t="e">
        <f t="shared" si="300"/>
        <v>#REF!</v>
      </c>
      <c r="P169" s="61" t="e">
        <f t="shared" si="301"/>
        <v>#REF!</v>
      </c>
      <c r="Q169" s="61">
        <f t="shared" si="302"/>
        <v>0.60660550074515251</v>
      </c>
      <c r="R169" s="61">
        <f t="shared" si="303"/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7.100000000000001" customHeight="1" x14ac:dyDescent="0.25">
      <c r="A170" s="55">
        <v>46269</v>
      </c>
      <c r="B170" s="56">
        <f>按股票分類!D21</f>
        <v>24882927</v>
      </c>
      <c r="C170" s="79">
        <f>B170/D170</f>
        <v>20.098694142420623</v>
      </c>
      <c r="D170" s="58">
        <v>1238037</v>
      </c>
      <c r="E170" s="58">
        <f>B170-B169</f>
        <v>978677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f>按股票分類!D13</f>
        <v>40212051</v>
      </c>
      <c r="L170" s="60">
        <v>105884.91</v>
      </c>
      <c r="M170" s="60">
        <v>734.51</v>
      </c>
      <c r="N170" s="61">
        <f t="shared" si="299"/>
        <v>1.0098694142420621</v>
      </c>
      <c r="O170" s="61" t="e">
        <f t="shared" si="300"/>
        <v>#REF!</v>
      </c>
      <c r="P170" s="61" t="e">
        <f t="shared" si="301"/>
        <v>#REF!</v>
      </c>
      <c r="Q170" s="61">
        <f t="shared" si="302"/>
        <v>0.60660550074515251</v>
      </c>
      <c r="R170" s="61">
        <f t="shared" si="303"/>
        <v>0.45531097065641668</v>
      </c>
      <c r="S170" s="83">
        <f>C170/MAX($C$7:C170)-1</f>
        <v>-0.15529024333435892</v>
      </c>
      <c r="T170" s="62">
        <f>K170/B170</f>
        <v>1.6160498722678405</v>
      </c>
      <c r="U170" s="62">
        <v>0</v>
      </c>
    </row>
    <row r="171" spans="1:21" ht="16.5" x14ac:dyDescent="0.25">
      <c r="A171" s="55"/>
      <c r="B171" s="56"/>
      <c r="C171" s="61"/>
      <c r="D171" s="56"/>
      <c r="F171" s="58"/>
      <c r="G171" s="58"/>
      <c r="H171" s="58"/>
      <c r="I171" s="59"/>
      <c r="J171" s="59"/>
      <c r="K171" s="59"/>
      <c r="L171" s="60"/>
      <c r="M171" s="84"/>
      <c r="N171" s="61"/>
      <c r="O171" s="61"/>
      <c r="P171" s="61"/>
      <c r="Q171" s="61"/>
      <c r="R171" s="61"/>
      <c r="S171" s="61"/>
      <c r="T171" s="62"/>
      <c r="U171" s="62"/>
    </row>
    <row r="172" spans="1:21" ht="16.5" x14ac:dyDescent="0.25">
      <c r="A172" s="55"/>
      <c r="B172" s="56"/>
      <c r="C172" s="56"/>
      <c r="D172" s="56"/>
      <c r="E172" s="57"/>
      <c r="F172" s="58"/>
      <c r="G172" s="58"/>
      <c r="H172" s="58"/>
      <c r="I172" s="59"/>
      <c r="J172" s="59"/>
      <c r="K172" s="59"/>
      <c r="L172" s="60"/>
      <c r="M172" s="60"/>
      <c r="N172" s="61"/>
      <c r="O172" s="61"/>
      <c r="P172" s="61"/>
      <c r="Q172" s="61"/>
      <c r="R172" s="61"/>
      <c r="S172" s="61"/>
      <c r="T172" s="62"/>
      <c r="U172" s="62"/>
    </row>
    <row r="173" spans="1:21" ht="16.5" x14ac:dyDescent="0.25">
      <c r="A173" s="55"/>
      <c r="B173" s="56"/>
      <c r="C173" s="56"/>
      <c r="D173" s="56"/>
      <c r="E173" s="57"/>
      <c r="F173" s="58"/>
      <c r="G173" s="58"/>
      <c r="H173" s="58"/>
      <c r="I173" s="59"/>
      <c r="J173" s="59"/>
      <c r="K173" s="59"/>
      <c r="L173" s="60"/>
      <c r="M173" s="60"/>
      <c r="N173" s="61"/>
      <c r="O173" s="61"/>
      <c r="P173" s="61"/>
      <c r="Q173" s="61"/>
      <c r="R173" s="61"/>
      <c r="S173" s="61"/>
      <c r="T173" s="62"/>
      <c r="U173" s="62"/>
    </row>
    <row r="174" spans="1:21" ht="16.5" x14ac:dyDescent="0.25">
      <c r="A174" s="55"/>
      <c r="B174" s="56"/>
      <c r="C174" s="56"/>
      <c r="D174" s="56"/>
      <c r="E174" s="57"/>
      <c r="F174" s="58"/>
      <c r="G174" s="58"/>
      <c r="H174" s="58"/>
      <c r="I174" s="59"/>
      <c r="J174" s="59"/>
      <c r="K174" s="59"/>
      <c r="L174" s="60"/>
      <c r="M174" s="60"/>
      <c r="N174" s="61"/>
      <c r="O174" s="61"/>
      <c r="P174" s="61"/>
      <c r="Q174" s="61"/>
      <c r="R174" s="61"/>
      <c r="S174" s="61"/>
      <c r="T174" s="62"/>
      <c r="U174" s="62"/>
    </row>
    <row r="175" spans="1:21" ht="16.5" x14ac:dyDescent="0.25">
      <c r="A175" s="55"/>
      <c r="B175" s="56"/>
      <c r="C175" s="56"/>
      <c r="D175" s="56"/>
      <c r="E175" s="57"/>
      <c r="F175" s="58"/>
      <c r="G175" s="58"/>
      <c r="H175" s="58"/>
      <c r="I175" s="59"/>
      <c r="J175" s="59"/>
      <c r="K175" s="59"/>
      <c r="L175" s="60"/>
      <c r="M175" s="60"/>
      <c r="N175" s="61"/>
      <c r="O175" s="61"/>
      <c r="P175" s="61"/>
      <c r="Q175" s="61"/>
      <c r="R175" s="61"/>
      <c r="S175" s="61"/>
      <c r="T175" s="62"/>
      <c r="U175" s="62"/>
    </row>
    <row r="176" spans="1:21" ht="16.5" x14ac:dyDescent="0.25">
      <c r="A176" s="55"/>
      <c r="B176" s="56"/>
      <c r="C176" s="56"/>
      <c r="D176" s="56"/>
      <c r="E176" s="57"/>
      <c r="F176" s="58"/>
      <c r="G176" s="58"/>
      <c r="H176" s="58"/>
      <c r="I176" s="59"/>
      <c r="J176" s="59"/>
      <c r="K176" s="59"/>
      <c r="L176" s="60"/>
      <c r="M176" s="60"/>
      <c r="N176" s="61"/>
      <c r="O176" s="61"/>
      <c r="P176" s="61"/>
      <c r="Q176" s="61"/>
      <c r="R176" s="61"/>
      <c r="S176" s="61"/>
      <c r="T176" s="62"/>
      <c r="U176" s="62"/>
    </row>
    <row r="177" spans="1:23" ht="16.5" x14ac:dyDescent="0.25">
      <c r="A177" s="55"/>
      <c r="B177" s="56"/>
      <c r="C177" s="56"/>
      <c r="D177" s="56"/>
      <c r="E177" s="57"/>
      <c r="F177" s="58"/>
      <c r="G177" s="58"/>
      <c r="H177" s="58"/>
      <c r="I177" s="59"/>
      <c r="J177" s="59"/>
      <c r="K177" s="59"/>
      <c r="L177" s="60"/>
      <c r="M177" s="60"/>
      <c r="N177" s="61"/>
      <c r="O177" s="61"/>
      <c r="P177" s="61"/>
      <c r="Q177" s="58"/>
      <c r="R177" s="61"/>
      <c r="S177" s="61"/>
      <c r="T177" s="62"/>
      <c r="U177" s="62"/>
    </row>
    <row r="178" spans="1:23" ht="16.5" x14ac:dyDescent="0.2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58"/>
      <c r="R178" s="82"/>
      <c r="S178" s="61"/>
      <c r="T178" s="62"/>
      <c r="U178" s="62"/>
    </row>
    <row r="179" spans="1:23" ht="16.5" x14ac:dyDescent="0.2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58"/>
      <c r="R179" s="61"/>
      <c r="S179" s="61"/>
      <c r="T179" s="62"/>
      <c r="U179" s="62"/>
    </row>
    <row r="180" spans="1:23" ht="16.5" x14ac:dyDescent="0.2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58"/>
      <c r="R180" s="61" t="s">
        <v>21</v>
      </c>
      <c r="S180" s="61"/>
      <c r="T180" s="62"/>
      <c r="U180" s="62"/>
    </row>
    <row r="181" spans="1:23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61"/>
      <c r="R181" s="61"/>
      <c r="S181" s="61"/>
      <c r="T181" s="62"/>
      <c r="U181" s="62"/>
    </row>
    <row r="182" spans="1:23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58"/>
      <c r="R182" s="61"/>
      <c r="S182" s="61"/>
      <c r="T182" s="62"/>
      <c r="U182" s="62"/>
    </row>
    <row r="183" spans="1:23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58"/>
      <c r="R183" s="61"/>
      <c r="S183" s="61"/>
      <c r="T183" s="62"/>
      <c r="U183" s="62"/>
    </row>
    <row r="184" spans="1:23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61"/>
      <c r="R184" s="61"/>
      <c r="S184" s="61"/>
      <c r="T184" s="62"/>
      <c r="U184" s="62"/>
    </row>
    <row r="185" spans="1:23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  <c r="W185" s="103"/>
    </row>
    <row r="186" spans="1:23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</row>
    <row r="187" spans="1:23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</row>
    <row r="188" spans="1:23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3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3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3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59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63"/>
      <c r="J268" s="63"/>
      <c r="K268" s="63"/>
      <c r="L268" s="60"/>
      <c r="M268" s="60"/>
      <c r="N268" s="64"/>
      <c r="O268" s="64"/>
      <c r="P268" s="64"/>
      <c r="Q268" s="64"/>
      <c r="R268" s="64"/>
      <c r="S268" s="64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63"/>
      <c r="J269" s="63"/>
      <c r="K269" s="63"/>
      <c r="L269" s="60"/>
      <c r="M269" s="60"/>
      <c r="N269" s="64"/>
      <c r="O269" s="64"/>
      <c r="P269" s="64"/>
      <c r="Q269" s="64"/>
      <c r="R269" s="64"/>
      <c r="S269" s="64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63"/>
      <c r="J270" s="63"/>
      <c r="K270" s="63"/>
      <c r="L270" s="60"/>
      <c r="M270" s="60"/>
      <c r="N270" s="64"/>
      <c r="O270" s="64"/>
      <c r="P270" s="64"/>
      <c r="Q270" s="64"/>
      <c r="R270" s="64"/>
      <c r="S270" s="64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63"/>
      <c r="J271" s="63"/>
      <c r="K271" s="63"/>
      <c r="L271" s="60"/>
      <c r="M271" s="60"/>
      <c r="N271" s="64"/>
      <c r="O271" s="64"/>
      <c r="P271" s="64"/>
      <c r="Q271" s="64"/>
      <c r="R271" s="64"/>
      <c r="S271" s="64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63"/>
      <c r="J272" s="63"/>
      <c r="K272" s="63"/>
      <c r="L272" s="60"/>
      <c r="M272" s="60"/>
      <c r="N272" s="64"/>
      <c r="O272" s="64"/>
      <c r="P272" s="64"/>
      <c r="Q272" s="64"/>
      <c r="R272" s="64"/>
      <c r="S272" s="64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63"/>
      <c r="J273" s="63"/>
      <c r="K273" s="63"/>
      <c r="L273" s="60"/>
      <c r="M273" s="60"/>
      <c r="N273" s="64"/>
      <c r="O273" s="64"/>
      <c r="P273" s="64"/>
      <c r="Q273" s="64"/>
      <c r="R273" s="64"/>
      <c r="S273" s="64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59"/>
      <c r="J296" s="59"/>
      <c r="K296" s="59"/>
      <c r="L296" s="60"/>
      <c r="M296" s="60"/>
      <c r="N296" s="61"/>
      <c r="O296" s="61"/>
      <c r="P296" s="61"/>
      <c r="Q296" s="61"/>
      <c r="R296" s="61"/>
      <c r="S296" s="61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59"/>
      <c r="J297" s="59"/>
      <c r="K297" s="59"/>
      <c r="L297" s="60"/>
      <c r="M297" s="60"/>
      <c r="N297" s="61"/>
      <c r="O297" s="61"/>
      <c r="P297" s="61"/>
      <c r="Q297" s="61"/>
      <c r="R297" s="61"/>
      <c r="S297" s="61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59"/>
      <c r="J298" s="59"/>
      <c r="K298" s="59"/>
      <c r="L298" s="60"/>
      <c r="M298" s="60"/>
      <c r="N298" s="61"/>
      <c r="O298" s="61"/>
      <c r="P298" s="61"/>
      <c r="Q298" s="61"/>
      <c r="R298" s="61"/>
      <c r="S298" s="61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59"/>
      <c r="J299" s="59"/>
      <c r="K299" s="59"/>
      <c r="L299" s="60"/>
      <c r="M299" s="60"/>
      <c r="N299" s="61"/>
      <c r="O299" s="61"/>
      <c r="P299" s="61"/>
      <c r="Q299" s="61"/>
      <c r="R299" s="61"/>
      <c r="S299" s="61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59"/>
      <c r="J300" s="59"/>
      <c r="K300" s="59"/>
      <c r="L300" s="60"/>
      <c r="M300" s="60"/>
      <c r="N300" s="61"/>
      <c r="O300" s="61"/>
      <c r="P300" s="61"/>
      <c r="Q300" s="61"/>
      <c r="R300" s="61"/>
      <c r="S300" s="61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59"/>
      <c r="J301" s="59"/>
      <c r="K301" s="59"/>
      <c r="L301" s="60"/>
      <c r="M301" s="60"/>
      <c r="N301" s="61"/>
      <c r="O301" s="61"/>
      <c r="P301" s="61"/>
      <c r="Q301" s="61"/>
      <c r="R301" s="61"/>
      <c r="S301" s="61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</sheetData>
  <sheetProtection selectLockedCells="1"/>
  <phoneticPr fontId="1" type="noConversion"/>
  <conditionalFormatting sqref="S2:S5 S7:S170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1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0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0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71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1:T401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0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1:U401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T7:T170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T8:T170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T171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T171:T401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U8:U170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U171:U401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1"/>
  <sheetViews>
    <sheetView topLeftCell="B1" zoomScale="85" zoomScaleNormal="85" workbookViewId="0">
      <selection activeCell="F27" sqref="F27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6647000</v>
      </c>
      <c r="E3" s="69">
        <f t="shared" ref="E3:E14" si="0">D3/$D$21</f>
        <v>0.26713095288186955</v>
      </c>
      <c r="F3" s="125">
        <f>帳戶!E4</f>
        <v>0</v>
      </c>
      <c r="G3" s="125">
        <v>4503000</v>
      </c>
      <c r="H3" s="94">
        <f t="shared" ref="H3:H8" si="1">D3-G3</f>
        <v>2144000</v>
      </c>
      <c r="I3" s="92">
        <v>0</v>
      </c>
      <c r="J3" s="21">
        <f t="shared" ref="J3:J8" si="2">IFERROR(H3/G3,"n/a")</f>
        <v>0.47612702642682658</v>
      </c>
      <c r="K3" s="29" t="s">
        <v>84</v>
      </c>
      <c r="L3" s="130"/>
      <c r="M3" s="130"/>
      <c r="N3" s="131"/>
      <c r="O3" s="98">
        <f t="shared" ref="O3" si="3">D3*0.1</f>
        <v>664700</v>
      </c>
    </row>
    <row r="4" spans="3:15" x14ac:dyDescent="0.25">
      <c r="C4" s="124" t="s">
        <v>89</v>
      </c>
      <c r="D4" s="125">
        <f>帳戶!F6</f>
        <v>6100500</v>
      </c>
      <c r="E4" s="69">
        <f t="shared" si="0"/>
        <v>0.24516810261107946</v>
      </c>
      <c r="F4" s="125">
        <f>帳戶!E6</f>
        <v>3158000</v>
      </c>
      <c r="G4" s="125">
        <v>6059000</v>
      </c>
      <c r="H4" s="94">
        <f t="shared" si="1"/>
        <v>41500</v>
      </c>
      <c r="I4" s="92">
        <v>3158000</v>
      </c>
      <c r="J4" s="21">
        <f t="shared" si="2"/>
        <v>6.8493150684931503E-3</v>
      </c>
      <c r="K4" s="29" t="s">
        <v>91</v>
      </c>
      <c r="L4" s="130"/>
      <c r="M4" s="130"/>
      <c r="N4" s="131"/>
      <c r="O4" s="98">
        <f t="shared" ref="O4:O9" si="4">D4*0.1</f>
        <v>610050</v>
      </c>
    </row>
    <row r="5" spans="3:15" x14ac:dyDescent="0.25">
      <c r="C5" s="124" t="s">
        <v>107</v>
      </c>
      <c r="D5" s="125">
        <f>帳戶!F5</f>
        <v>5688000</v>
      </c>
      <c r="E5" s="69">
        <f t="shared" si="0"/>
        <v>0.2285904708879305</v>
      </c>
      <c r="F5" s="125">
        <f>帳戶!E5</f>
        <v>3405000</v>
      </c>
      <c r="G5" s="125">
        <v>0</v>
      </c>
      <c r="H5" s="94">
        <f t="shared" si="1"/>
        <v>5688000</v>
      </c>
      <c r="I5" s="92">
        <v>1772000</v>
      </c>
      <c r="J5" s="21" t="str">
        <f t="shared" si="2"/>
        <v>n/a</v>
      </c>
      <c r="K5" s="29" t="s">
        <v>108</v>
      </c>
      <c r="L5" s="130"/>
      <c r="M5" s="130"/>
      <c r="N5" s="131"/>
      <c r="O5" s="98">
        <f t="shared" si="4"/>
        <v>568800</v>
      </c>
    </row>
    <row r="6" spans="3:15" x14ac:dyDescent="0.25">
      <c r="C6" s="124" t="s">
        <v>90</v>
      </c>
      <c r="D6" s="125">
        <f>帳戶!F13</f>
        <v>5401500</v>
      </c>
      <c r="E6" s="69">
        <f t="shared" si="0"/>
        <v>0.21707655212748886</v>
      </c>
      <c r="F6" s="125">
        <f>帳戶!E13</f>
        <v>2897000</v>
      </c>
      <c r="G6" s="125">
        <v>5473000</v>
      </c>
      <c r="H6" s="94">
        <f t="shared" si="1"/>
        <v>-71500</v>
      </c>
      <c r="I6" s="92">
        <v>2897000</v>
      </c>
      <c r="J6" s="21">
        <f t="shared" si="2"/>
        <v>-1.3064133016627079E-2</v>
      </c>
      <c r="K6" s="29" t="s">
        <v>91</v>
      </c>
      <c r="L6" s="130"/>
      <c r="M6" s="130"/>
      <c r="N6" s="131"/>
      <c r="O6" s="98">
        <f t="shared" si="4"/>
        <v>540150</v>
      </c>
    </row>
    <row r="7" spans="3:15" x14ac:dyDescent="0.25">
      <c r="C7" s="124" t="s">
        <v>105</v>
      </c>
      <c r="D7" s="125">
        <f>帳戶!F10</f>
        <v>5290000</v>
      </c>
      <c r="E7" s="69">
        <f t="shared" si="0"/>
        <v>0.21259556803747404</v>
      </c>
      <c r="F7" s="125">
        <f>帳戶!E10</f>
        <v>3169000</v>
      </c>
      <c r="G7" s="125">
        <v>4370000</v>
      </c>
      <c r="H7" s="94">
        <f t="shared" si="1"/>
        <v>920000</v>
      </c>
      <c r="I7" s="92">
        <v>2622000</v>
      </c>
      <c r="J7" s="21">
        <f t="shared" si="2"/>
        <v>0.21052631578947367</v>
      </c>
      <c r="K7" s="29" t="s">
        <v>99</v>
      </c>
      <c r="L7" s="130"/>
      <c r="M7" s="130"/>
      <c r="N7" s="131"/>
      <c r="O7" s="98">
        <f t="shared" si="4"/>
        <v>529000</v>
      </c>
    </row>
    <row r="8" spans="3:15" x14ac:dyDescent="0.25">
      <c r="C8" s="124" t="s">
        <v>98</v>
      </c>
      <c r="D8" s="125">
        <f>帳戶!F7</f>
        <v>4966500</v>
      </c>
      <c r="E8" s="69">
        <f t="shared" si="0"/>
        <v>0.19959468594671359</v>
      </c>
      <c r="F8" s="125">
        <f>帳戶!E7</f>
        <v>2819000</v>
      </c>
      <c r="G8" s="125">
        <v>4884000</v>
      </c>
      <c r="H8" s="94">
        <f t="shared" si="1"/>
        <v>82500</v>
      </c>
      <c r="I8" s="92">
        <v>2819000</v>
      </c>
      <c r="J8" s="21">
        <f t="shared" si="2"/>
        <v>1.6891891891891893E-2</v>
      </c>
      <c r="K8" s="29" t="s">
        <v>97</v>
      </c>
      <c r="L8" s="130"/>
      <c r="M8" s="130"/>
      <c r="N8" s="131"/>
      <c r="O8" s="98">
        <f t="shared" si="4"/>
        <v>496650</v>
      </c>
    </row>
    <row r="9" spans="3:15" x14ac:dyDescent="0.25">
      <c r="C9" s="124" t="s">
        <v>93</v>
      </c>
      <c r="D9" s="125">
        <f>帳戶!F12</f>
        <v>3195990</v>
      </c>
      <c r="E9" s="69">
        <f t="shared" si="0"/>
        <v>0.1284410792990712</v>
      </c>
      <c r="F9" s="125">
        <f>帳戶!E12</f>
        <v>0</v>
      </c>
      <c r="G9" s="125">
        <v>3115000</v>
      </c>
      <c r="H9" s="94">
        <f t="shared" ref="H9" si="5">D9-G9</f>
        <v>80990</v>
      </c>
      <c r="I9" s="92">
        <v>0</v>
      </c>
      <c r="J9" s="21">
        <f t="shared" ref="J9" si="6">IFERROR(H9/G9,"n/a")</f>
        <v>2.5999999999999999E-2</v>
      </c>
      <c r="K9" s="29" t="s">
        <v>91</v>
      </c>
      <c r="L9" s="130"/>
      <c r="M9" s="130"/>
      <c r="N9" s="131"/>
      <c r="O9" s="98">
        <f t="shared" si="4"/>
        <v>319599</v>
      </c>
    </row>
    <row r="10" spans="3:15" x14ac:dyDescent="0.25">
      <c r="C10" s="124" t="s">
        <v>101</v>
      </c>
      <c r="D10" s="125">
        <f>帳戶!F11</f>
        <v>2922561</v>
      </c>
      <c r="E10" s="69">
        <f t="shared" si="0"/>
        <v>0.11745246047621327</v>
      </c>
      <c r="F10" s="125">
        <v>0</v>
      </c>
      <c r="G10" s="125">
        <v>3042603</v>
      </c>
      <c r="H10" s="94">
        <f>D10-G10</f>
        <v>-120042</v>
      </c>
      <c r="I10" s="92">
        <v>0</v>
      </c>
      <c r="J10" s="21">
        <f>IFERROR(H10/G10,"n/a")</f>
        <v>-3.9453717754172987E-2</v>
      </c>
      <c r="K10" s="29" t="s">
        <v>99</v>
      </c>
      <c r="L10" s="130"/>
      <c r="M10" s="130"/>
      <c r="N10" s="131"/>
      <c r="O10" s="98">
        <f t="shared" ref="O10" si="7">D10*0.1</f>
        <v>292256.10000000003</v>
      </c>
    </row>
    <row r="11" spans="3:15" x14ac:dyDescent="0.25">
      <c r="C11" s="124" t="s">
        <v>103</v>
      </c>
      <c r="D11" s="125">
        <f>帳戶!F8</f>
        <v>0</v>
      </c>
      <c r="E11" s="69">
        <f t="shared" si="0"/>
        <v>0</v>
      </c>
      <c r="F11" s="125">
        <f>帳戶!E8</f>
        <v>0</v>
      </c>
      <c r="G11" s="125">
        <v>3125000</v>
      </c>
      <c r="H11" s="94">
        <f>D11-G11</f>
        <v>-3125000</v>
      </c>
      <c r="I11" s="92">
        <v>1772000</v>
      </c>
      <c r="J11" s="21">
        <f>IFERROR(H11/G11,"n/a")</f>
        <v>-1</v>
      </c>
      <c r="K11" s="29" t="s">
        <v>99</v>
      </c>
      <c r="L11" s="130"/>
      <c r="M11" s="130"/>
      <c r="N11" s="131"/>
      <c r="O11" s="98">
        <f>D11*0.1</f>
        <v>0</v>
      </c>
    </row>
    <row r="12" spans="3:15" x14ac:dyDescent="0.25">
      <c r="C12" s="124" t="s">
        <v>96</v>
      </c>
      <c r="D12" s="125">
        <f>帳戶!F9</f>
        <v>0</v>
      </c>
      <c r="E12" s="69">
        <f t="shared" si="0"/>
        <v>0</v>
      </c>
      <c r="F12" s="125">
        <v>0</v>
      </c>
      <c r="G12" s="125">
        <v>2600000</v>
      </c>
      <c r="H12" s="94">
        <f>D12-G12</f>
        <v>-2600000</v>
      </c>
      <c r="I12" s="92">
        <v>0</v>
      </c>
      <c r="J12" s="21">
        <f>IFERROR(H12/G12,"n/a")</f>
        <v>-1</v>
      </c>
      <c r="K12" s="29" t="s">
        <v>99</v>
      </c>
      <c r="L12" s="130"/>
      <c r="M12" s="130"/>
      <c r="N12" s="131"/>
      <c r="O12" s="98">
        <f>D12*0.1</f>
        <v>0</v>
      </c>
    </row>
    <row r="13" spans="3:15" ht="17.25" thickBot="1" x14ac:dyDescent="0.3">
      <c r="C13" s="18" t="s">
        <v>30</v>
      </c>
      <c r="D13" s="90">
        <f>SUM(D3:D12)</f>
        <v>40212051</v>
      </c>
      <c r="E13" s="118">
        <f t="shared" si="0"/>
        <v>1.6160498722678405</v>
      </c>
      <c r="F13" s="90">
        <f>SUM(F3:F12)</f>
        <v>15448000</v>
      </c>
      <c r="G13" s="90">
        <f>SUM(G3:G12)</f>
        <v>37171603</v>
      </c>
      <c r="H13" s="90">
        <f>SUM(H3:H12)</f>
        <v>3040448</v>
      </c>
      <c r="I13" s="90">
        <f>SUM(I3:I12)</f>
        <v>15040000</v>
      </c>
      <c r="J13" s="86">
        <f t="shared" ref="J13:J15" si="8">IFERROR(H13/G13,"n/a")</f>
        <v>8.1794912099970501E-2</v>
      </c>
      <c r="K13" s="86"/>
      <c r="L13" s="86"/>
      <c r="M13" s="86"/>
      <c r="N13" s="86"/>
      <c r="O13" s="126">
        <f>SUM(O3:O12)</f>
        <v>4021205.1</v>
      </c>
    </row>
    <row r="14" spans="3:15" ht="16.5" customHeight="1" x14ac:dyDescent="0.25">
      <c r="C14" s="87"/>
      <c r="D14" s="104">
        <v>0</v>
      </c>
      <c r="E14" s="106">
        <f t="shared" si="0"/>
        <v>0</v>
      </c>
      <c r="F14" s="88">
        <v>0</v>
      </c>
      <c r="G14" s="104">
        <v>0</v>
      </c>
      <c r="H14" s="96">
        <f>D14-G14</f>
        <v>0</v>
      </c>
      <c r="I14" s="88">
        <v>0</v>
      </c>
      <c r="J14" s="89" t="str">
        <f t="shared" si="8"/>
        <v>n/a</v>
      </c>
      <c r="K14" s="107"/>
      <c r="L14" s="107"/>
      <c r="M14" s="107"/>
      <c r="N14" s="107"/>
      <c r="O14" s="100">
        <f>D14*0.1</f>
        <v>0</v>
      </c>
    </row>
    <row r="15" spans="3:15" ht="17.25" thickBot="1" x14ac:dyDescent="0.3">
      <c r="C15" s="18" t="s">
        <v>30</v>
      </c>
      <c r="D15" s="90">
        <f>SUM(D14:D14)</f>
        <v>0</v>
      </c>
      <c r="E15" s="90"/>
      <c r="F15" s="20"/>
      <c r="G15" s="90">
        <f>SUM(G14:G14)</f>
        <v>0</v>
      </c>
      <c r="H15" s="95">
        <f>D15-G15</f>
        <v>0</v>
      </c>
      <c r="I15" s="19"/>
      <c r="J15" s="86" t="str">
        <f t="shared" si="8"/>
        <v>n/a</v>
      </c>
      <c r="K15" s="86"/>
      <c r="L15" s="86"/>
      <c r="M15" s="86"/>
      <c r="N15" s="86"/>
      <c r="O15" s="99">
        <f>SUM(0)</f>
        <v>0</v>
      </c>
    </row>
    <row r="16" spans="3:15" x14ac:dyDescent="0.25">
      <c r="C16" s="108" t="s">
        <v>31</v>
      </c>
      <c r="D16" s="109">
        <f ca="1">D16-帳戶!F16</f>
        <v>0</v>
      </c>
      <c r="E16" s="109"/>
      <c r="F16" s="110"/>
      <c r="G16" s="109">
        <v>0</v>
      </c>
      <c r="H16" s="111"/>
      <c r="I16" s="109"/>
      <c r="J16" s="110"/>
      <c r="K16" s="110"/>
      <c r="L16" s="110"/>
      <c r="M16" s="110"/>
      <c r="N16" s="110"/>
      <c r="O16" s="112"/>
    </row>
    <row r="17" spans="2:15" x14ac:dyDescent="0.25">
      <c r="C17" s="71" t="s">
        <v>32</v>
      </c>
      <c r="D17" s="91">
        <f>帳戶!C22</f>
        <v>118876</v>
      </c>
      <c r="E17" s="69">
        <f>D17/$D$21</f>
        <v>4.7774122393237743E-3</v>
      </c>
      <c r="F17" s="69"/>
      <c r="G17" s="91">
        <v>647</v>
      </c>
      <c r="H17" s="94">
        <f>D17-G17</f>
        <v>118229</v>
      </c>
      <c r="I17" s="22"/>
      <c r="J17" s="70">
        <f>H17/G17</f>
        <v>182.73415765069552</v>
      </c>
      <c r="K17" s="29" t="s">
        <v>32</v>
      </c>
      <c r="L17" s="29"/>
      <c r="M17" s="29"/>
      <c r="N17" s="29"/>
      <c r="O17" s="98"/>
    </row>
    <row r="18" spans="2:15" x14ac:dyDescent="0.25">
      <c r="C18" s="71" t="s">
        <v>68</v>
      </c>
      <c r="D18" s="91">
        <f>期貨!C4</f>
        <v>0</v>
      </c>
      <c r="E18" s="69">
        <f>D18/$D$21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/>
      <c r="L18" s="29"/>
      <c r="M18" s="29"/>
      <c r="N18" s="29"/>
      <c r="O18" s="98"/>
    </row>
    <row r="19" spans="2:15" x14ac:dyDescent="0.25">
      <c r="C19" s="71" t="s">
        <v>52</v>
      </c>
      <c r="D19" s="91">
        <f>帳戶!C23</f>
        <v>0</v>
      </c>
      <c r="E19" s="69">
        <f>D19/$D$21</f>
        <v>0</v>
      </c>
      <c r="F19" s="69"/>
      <c r="G19" s="91">
        <v>0</v>
      </c>
      <c r="H19" s="94">
        <f>D19-G19</f>
        <v>0</v>
      </c>
      <c r="I19" s="22"/>
      <c r="J19" s="70" t="e">
        <f>H19/G19</f>
        <v>#DIV/0!</v>
      </c>
      <c r="K19" s="29" t="s">
        <v>34</v>
      </c>
      <c r="L19" s="29"/>
      <c r="M19" s="29"/>
      <c r="N19" s="29"/>
      <c r="O19" s="98"/>
    </row>
    <row r="20" spans="2:15" ht="17.25" thickBot="1" x14ac:dyDescent="0.3">
      <c r="C20" s="113" t="s">
        <v>31</v>
      </c>
      <c r="D20" s="114">
        <f>D13+D17-F13-帳戶!F25+D19</f>
        <v>0</v>
      </c>
      <c r="E20" s="114"/>
      <c r="F20" s="115"/>
      <c r="G20" s="114">
        <v>0</v>
      </c>
      <c r="H20" s="116"/>
      <c r="I20" s="114"/>
      <c r="J20" s="115"/>
      <c r="K20" s="115"/>
      <c r="L20" s="115"/>
      <c r="M20" s="115"/>
      <c r="N20" s="115"/>
      <c r="O20" s="117"/>
    </row>
    <row r="21" spans="2:15" ht="17.25" thickBot="1" x14ac:dyDescent="0.3">
      <c r="C21" s="18" t="s">
        <v>30</v>
      </c>
      <c r="D21" s="90">
        <f>D13+D17-F13+D19+D18</f>
        <v>24882927</v>
      </c>
      <c r="E21" s="118">
        <f>D21/$D$21</f>
        <v>1</v>
      </c>
      <c r="F21" s="20"/>
      <c r="G21" s="90">
        <f>G13+G17-I13+G19+G18</f>
        <v>22132250</v>
      </c>
      <c r="H21" s="95">
        <f t="shared" ref="H21" si="9">D21-G21</f>
        <v>2750677</v>
      </c>
      <c r="I21" s="19"/>
      <c r="J21" s="20">
        <f>H21/G21</f>
        <v>0.12428365846219883</v>
      </c>
      <c r="K21" s="20"/>
      <c r="L21" s="20"/>
      <c r="M21" s="20"/>
      <c r="N21" s="20"/>
      <c r="O21" s="99"/>
    </row>
    <row r="22" spans="2:15" x14ac:dyDescent="0.25">
      <c r="C22" s="119" t="s">
        <v>35</v>
      </c>
      <c r="D22" s="120">
        <v>23904250</v>
      </c>
      <c r="E22" s="23"/>
      <c r="G22" s="23"/>
      <c r="I22" s="26"/>
      <c r="O22" s="97"/>
    </row>
    <row r="23" spans="2:15" ht="18.75" customHeight="1" x14ac:dyDescent="0.25">
      <c r="C23" s="11" t="s">
        <v>36</v>
      </c>
      <c r="D23" s="93">
        <f>D21-D22</f>
        <v>978677</v>
      </c>
      <c r="E23" s="105"/>
      <c r="F23" s="24"/>
      <c r="G23" s="23"/>
      <c r="H23" s="23"/>
      <c r="K23" s="24"/>
      <c r="L23" s="24"/>
      <c r="M23" s="24"/>
      <c r="N23" s="24"/>
      <c r="O23" s="97"/>
    </row>
    <row r="24" spans="2:15" ht="17.25" thickBot="1" x14ac:dyDescent="0.3">
      <c r="C24" s="12" t="s">
        <v>37</v>
      </c>
      <c r="D24" s="13">
        <f>D23/D22</f>
        <v>4.0941548051078781E-2</v>
      </c>
      <c r="E24" s="23"/>
      <c r="F24" s="24"/>
      <c r="G24" s="23"/>
      <c r="H24" s="24"/>
      <c r="O24" s="97"/>
    </row>
    <row r="25" spans="2:15" x14ac:dyDescent="0.25">
      <c r="D25" s="31"/>
      <c r="E25" s="31"/>
      <c r="F25" s="30"/>
      <c r="G25" s="81"/>
      <c r="H25" s="81"/>
      <c r="I25" s="17"/>
      <c r="J25" s="17"/>
      <c r="K25" s="17"/>
      <c r="L25" s="17"/>
      <c r="M25" s="17"/>
      <c r="N25" s="17"/>
    </row>
    <row r="26" spans="2:15" x14ac:dyDescent="0.25">
      <c r="D26" s="25"/>
      <c r="E26" s="25"/>
    </row>
    <row r="28" spans="2:15" ht="17.25" customHeight="1" x14ac:dyDescent="0.25"/>
    <row r="30" spans="2:15" x14ac:dyDescent="0.25">
      <c r="G30" t="s">
        <v>21</v>
      </c>
    </row>
    <row r="31" spans="2:15" x14ac:dyDescent="0.25">
      <c r="B31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5">
    <cfRule type="dataBar" priority="1476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6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6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6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6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6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6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6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6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6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5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5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5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5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5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5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6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76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6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6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6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6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6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6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6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</conditionalFormatting>
  <conditionalFormatting sqref="E3:E16">
    <cfRule type="dataBar" priority="1476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1">
    <cfRule type="dataBar" priority="1476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3">
    <cfRule type="dataBar" priority="1476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{880D6168-33A1-4C9D-A9E8-05EAF6564048}</x14:id>
        </ext>
      </extLst>
    </cfRule>
  </conditionalFormatting>
  <conditionalFormatting sqref="E3:E24">
    <cfRule type="dataBar" priority="1476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{F45838FE-504A-4014-BCEF-AC2F5D7B163C}</x14:id>
        </ext>
      </extLst>
    </cfRule>
  </conditionalFormatting>
  <conditionalFormatting sqref="E16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7">
    <cfRule type="dataBar" priority="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20:E22"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4"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4 F20:F21">
    <cfRule type="dataBar" priority="1386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8:F23">
    <cfRule type="dataBar" priority="140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8:F24 F2">
    <cfRule type="dataBar" priority="140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8:F24">
    <cfRule type="dataBar" priority="140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20:F21 F24">
    <cfRule type="dataBar" priority="1386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20:F21">
    <cfRule type="dataBar" priority="1403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20:F22 F24">
    <cfRule type="dataBar" priority="1387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20:F22">
    <cfRule type="dataBar" priority="140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2"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4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E3:E16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880D6168-33A1-4C9D-A9E8-05EAF656404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F45838FE-504A-4014-BCEF-AC2F5D7B16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E3:E24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E20:E22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E24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F24 F20:F21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F18:F23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F18:F24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F18:F24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F20:F21 F24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F20:F21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F20:F22 F24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F20:F22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8"/>
  <sheetViews>
    <sheetView zoomScaleNormal="100" workbookViewId="0">
      <selection activeCell="G24" sqref="G24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46000</v>
      </c>
      <c r="D4" s="3">
        <f>VLOOKUP(B4,'[1]元大(自己)'!$B$4:$D$13,3,0)</f>
        <v>144.5</v>
      </c>
      <c r="E4" s="2">
        <v>0</v>
      </c>
      <c r="F4" s="2">
        <f t="shared" ref="F4" si="0">C4*D4</f>
        <v>6647000</v>
      </c>
    </row>
    <row r="5" spans="2:6" x14ac:dyDescent="0.25">
      <c r="B5" s="7" t="s">
        <v>106</v>
      </c>
      <c r="C5" s="2">
        <v>8000</v>
      </c>
      <c r="D5" s="3">
        <f>VLOOKUP(B5,'[1]元大(自己)'!$B$4:$D$13,3,0)</f>
        <v>711</v>
      </c>
      <c r="E5" s="2">
        <f>1278000+426000+1701000</f>
        <v>3405000</v>
      </c>
      <c r="F5" s="2">
        <f t="shared" ref="F5" si="1">C5*D5</f>
        <v>5688000</v>
      </c>
    </row>
    <row r="6" spans="2:6" x14ac:dyDescent="0.25">
      <c r="B6" s="7" t="s">
        <v>87</v>
      </c>
      <c r="C6" s="2">
        <f>128000+38000</f>
        <v>166000</v>
      </c>
      <c r="D6" s="3">
        <f>VLOOKUP(B6,'[1]元大(自己)'!$B$4:$D$13,3,0)</f>
        <v>36.75</v>
      </c>
      <c r="E6" s="2">
        <f>2413000+745000</f>
        <v>3158000</v>
      </c>
      <c r="F6" s="2">
        <f t="shared" ref="F6:F13" si="2">C6*D6</f>
        <v>6100500</v>
      </c>
    </row>
    <row r="7" spans="2:6" x14ac:dyDescent="0.25">
      <c r="B7" s="7" t="s">
        <v>94</v>
      </c>
      <c r="C7" s="2">
        <v>33000</v>
      </c>
      <c r="D7" s="3">
        <f>VLOOKUP(B7,'[1]元大(自己)'!$B$4:$D$13,3,0)</f>
        <v>150.5</v>
      </c>
      <c r="E7" s="2">
        <v>2819000</v>
      </c>
      <c r="F7" s="2">
        <f t="shared" si="2"/>
        <v>4966500</v>
      </c>
    </row>
    <row r="8" spans="2:6" x14ac:dyDescent="0.25">
      <c r="B8" s="7" t="s">
        <v>102</v>
      </c>
      <c r="C8" s="2">
        <v>0</v>
      </c>
      <c r="D8" s="3">
        <f>VLOOKUP(B8,'[1]元大(自己)'!$B$4:$D$13,3,0)</f>
        <v>3130</v>
      </c>
      <c r="E8" s="2">
        <v>0</v>
      </c>
      <c r="F8" s="2">
        <f t="shared" ref="F8" si="3">C8*D8</f>
        <v>0</v>
      </c>
    </row>
    <row r="9" spans="2:6" x14ac:dyDescent="0.25">
      <c r="B9" s="7" t="s">
        <v>95</v>
      </c>
      <c r="C9" s="2">
        <v>0</v>
      </c>
      <c r="D9" s="3">
        <f>VLOOKUP(B9,'[1]元大(自己)'!$B$4:$D$13,3,0)</f>
        <v>1300</v>
      </c>
      <c r="E9" s="2">
        <v>0</v>
      </c>
      <c r="F9" s="2">
        <f t="shared" si="2"/>
        <v>0</v>
      </c>
    </row>
    <row r="10" spans="2:6" x14ac:dyDescent="0.25">
      <c r="B10" s="7" t="s">
        <v>104</v>
      </c>
      <c r="C10" s="2">
        <v>46000</v>
      </c>
      <c r="D10" s="3">
        <f>VLOOKUP(B10,'[1]元大(自己)'!$B$4:$D$13,3,0)</f>
        <v>115</v>
      </c>
      <c r="E10" s="2">
        <v>3169000</v>
      </c>
      <c r="F10" s="2">
        <f t="shared" ref="F10" si="4">C10*D10</f>
        <v>5290000</v>
      </c>
    </row>
    <row r="11" spans="2:6" x14ac:dyDescent="0.25">
      <c r="B11" s="7" t="s">
        <v>100</v>
      </c>
      <c r="C11" s="2">
        <v>4617</v>
      </c>
      <c r="D11" s="3">
        <f>VLOOKUP(B11,'[1]元大(自己)'!$B$4:$D$13,3,0)</f>
        <v>633</v>
      </c>
      <c r="E11" s="2">
        <v>0</v>
      </c>
      <c r="F11" s="2">
        <f t="shared" ref="F11" si="5">C11*D11</f>
        <v>2922561</v>
      </c>
    </row>
    <row r="12" spans="2:6" x14ac:dyDescent="0.25">
      <c r="B12" s="7" t="s">
        <v>92</v>
      </c>
      <c r="C12" s="2">
        <v>1246</v>
      </c>
      <c r="D12" s="3">
        <f>VLOOKUP(B12,'[1]元大(自己)'!$B$4:$D$13,3,0)</f>
        <v>2565</v>
      </c>
      <c r="E12" s="2">
        <v>0</v>
      </c>
      <c r="F12" s="2">
        <f t="shared" si="2"/>
        <v>3195990</v>
      </c>
    </row>
    <row r="13" spans="2:6" x14ac:dyDescent="0.25">
      <c r="B13" s="7" t="s">
        <v>88</v>
      </c>
      <c r="C13" s="2">
        <v>130000</v>
      </c>
      <c r="D13" s="3">
        <f>VLOOKUP(B13,'[1]元大(自己)'!$B$4:$D$13,3,0)</f>
        <v>41.55</v>
      </c>
      <c r="E13" s="2">
        <f>2408000+489000</f>
        <v>2897000</v>
      </c>
      <c r="F13" s="2">
        <f t="shared" si="2"/>
        <v>5401500</v>
      </c>
    </row>
    <row r="14" spans="2:6" x14ac:dyDescent="0.25">
      <c r="B14" s="7"/>
      <c r="C14" s="2"/>
      <c r="D14" s="32"/>
      <c r="E14" s="3"/>
      <c r="F14" s="3"/>
    </row>
    <row r="15" spans="2:6" x14ac:dyDescent="0.25">
      <c r="C15" s="85"/>
    </row>
    <row r="16" spans="2:6" x14ac:dyDescent="0.25">
      <c r="D16" s="4" t="s">
        <v>57</v>
      </c>
      <c r="E16" s="9">
        <f>SUM(E4:E13)</f>
        <v>15448000</v>
      </c>
      <c r="F16" s="9">
        <f>SUM(F4:F13)</f>
        <v>40212051</v>
      </c>
    </row>
    <row r="17" spans="2:13" ht="17.25" thickBot="1" x14ac:dyDescent="0.3"/>
    <row r="18" spans="2:13" x14ac:dyDescent="0.25">
      <c r="B18" s="138" t="s">
        <v>32</v>
      </c>
      <c r="C18" s="139"/>
      <c r="D18" s="5"/>
      <c r="E18" s="5"/>
      <c r="F18" s="5"/>
    </row>
    <row r="19" spans="2:13" x14ac:dyDescent="0.25">
      <c r="B19" s="72" t="s">
        <v>43</v>
      </c>
      <c r="C19" s="8">
        <v>1988797</v>
      </c>
      <c r="E19" s="132">
        <v>31.9</v>
      </c>
      <c r="F19" s="5"/>
    </row>
    <row r="20" spans="2:13" x14ac:dyDescent="0.25">
      <c r="B20" s="72" t="s">
        <v>44</v>
      </c>
      <c r="C20" s="8">
        <v>-1988150</v>
      </c>
      <c r="E20" s="5"/>
      <c r="F20" s="5"/>
    </row>
    <row r="21" spans="2:13" x14ac:dyDescent="0.25">
      <c r="B21" s="72" t="s">
        <v>45</v>
      </c>
      <c r="C21" s="8">
        <v>118229</v>
      </c>
      <c r="E21" s="5"/>
      <c r="F21" s="5"/>
    </row>
    <row r="22" spans="2:13" ht="17.25" thickBot="1" x14ac:dyDescent="0.3">
      <c r="B22" s="73" t="s">
        <v>46</v>
      </c>
      <c r="C22" s="74">
        <f>SUM(C19:C21)</f>
        <v>118876</v>
      </c>
      <c r="F22" s="129">
        <f>F25+期貨!C4</f>
        <v>24882927</v>
      </c>
    </row>
    <row r="23" spans="2:13" ht="17.25" thickBot="1" x14ac:dyDescent="0.3">
      <c r="B23" s="75" t="s">
        <v>33</v>
      </c>
      <c r="C23" s="76">
        <v>0</v>
      </c>
      <c r="F23" s="23"/>
    </row>
    <row r="25" spans="2:13" x14ac:dyDescent="0.25">
      <c r="D25" s="6" t="s">
        <v>47</v>
      </c>
      <c r="E25" s="6"/>
      <c r="F25" s="10">
        <f>F16+C22+C23-E16</f>
        <v>24882927</v>
      </c>
    </row>
    <row r="27" spans="2:13" x14ac:dyDescent="0.25">
      <c r="F27" s="129"/>
    </row>
    <row r="28" spans="2:13" x14ac:dyDescent="0.25">
      <c r="F28" s="23"/>
    </row>
    <row r="29" spans="2:13" x14ac:dyDescent="0.25">
      <c r="D29" s="121">
        <f>SUM(D30:D45)</f>
        <v>0.99969000000000019</v>
      </c>
      <c r="H29" s="23">
        <f>(F25+期貨!C4)*0.67</f>
        <v>16671561.090000002</v>
      </c>
      <c r="K29" t="s">
        <v>60</v>
      </c>
      <c r="L29" t="s">
        <v>61</v>
      </c>
      <c r="M29" t="s">
        <v>62</v>
      </c>
    </row>
    <row r="30" spans="2:13" x14ac:dyDescent="0.25">
      <c r="B30">
        <v>8299</v>
      </c>
      <c r="C30" t="s">
        <v>69</v>
      </c>
      <c r="D30" s="122">
        <v>0.2127</v>
      </c>
      <c r="F30" s="122">
        <v>0.2127</v>
      </c>
      <c r="G30">
        <v>2670</v>
      </c>
      <c r="H30" s="123">
        <f>$H$29*F30/G30</f>
        <v>1328.1052598662923</v>
      </c>
      <c r="I30">
        <v>1.3</v>
      </c>
      <c r="J30">
        <f>I30*G30</f>
        <v>3471</v>
      </c>
      <c r="K30">
        <v>1.3</v>
      </c>
      <c r="L30">
        <v>0</v>
      </c>
      <c r="M30">
        <v>0</v>
      </c>
    </row>
    <row r="31" spans="2:13" x14ac:dyDescent="0.25">
      <c r="B31">
        <v>2451</v>
      </c>
      <c r="C31" t="s">
        <v>70</v>
      </c>
      <c r="D31" s="122">
        <v>8.5079999999999989E-2</v>
      </c>
      <c r="F31" s="122">
        <v>8.5079999999999989E-2</v>
      </c>
      <c r="G31">
        <v>343.5</v>
      </c>
      <c r="H31" s="123">
        <f t="shared" ref="H31:H45" si="6">$H$29*F31/G31</f>
        <v>4129.3054367895202</v>
      </c>
      <c r="I31">
        <v>4</v>
      </c>
      <c r="J31">
        <f t="shared" ref="J31:J45" si="7">I31*G31</f>
        <v>1374</v>
      </c>
      <c r="K31">
        <v>4</v>
      </c>
      <c r="L31">
        <v>0</v>
      </c>
      <c r="M31">
        <v>0</v>
      </c>
    </row>
    <row r="32" spans="2:13" x14ac:dyDescent="0.25">
      <c r="B32">
        <v>5289</v>
      </c>
      <c r="C32" t="s">
        <v>63</v>
      </c>
      <c r="D32" s="122">
        <v>8.5079999999999989E-2</v>
      </c>
      <c r="F32" s="122">
        <v>8.5079999999999989E-2</v>
      </c>
      <c r="G32">
        <v>1760</v>
      </c>
      <c r="H32" s="123">
        <f t="shared" si="6"/>
        <v>805.91841905522733</v>
      </c>
      <c r="I32">
        <v>1</v>
      </c>
      <c r="J32">
        <f t="shared" si="7"/>
        <v>1760</v>
      </c>
      <c r="K32">
        <v>1</v>
      </c>
      <c r="L32">
        <v>0</v>
      </c>
      <c r="M32">
        <v>0</v>
      </c>
    </row>
    <row r="33" spans="2:13" x14ac:dyDescent="0.25">
      <c r="B33">
        <v>3135</v>
      </c>
      <c r="C33" t="s">
        <v>71</v>
      </c>
      <c r="D33" s="122">
        <v>4.2539999999999994E-2</v>
      </c>
      <c r="F33" s="122">
        <v>4.2539999999999994E-2</v>
      </c>
      <c r="G33">
        <v>194.5</v>
      </c>
      <c r="H33" s="123">
        <f t="shared" si="6"/>
        <v>3646.3146980390748</v>
      </c>
      <c r="I33">
        <v>4</v>
      </c>
      <c r="J33">
        <f t="shared" si="7"/>
        <v>778</v>
      </c>
      <c r="K33">
        <v>4</v>
      </c>
      <c r="L33">
        <v>0</v>
      </c>
      <c r="M33">
        <v>0</v>
      </c>
    </row>
    <row r="34" spans="2:13" x14ac:dyDescent="0.25">
      <c r="B34">
        <v>8271</v>
      </c>
      <c r="C34" t="s">
        <v>72</v>
      </c>
      <c r="D34" s="122">
        <v>4.2539999999999994E-2</v>
      </c>
      <c r="F34" s="122">
        <v>4.2539999999999994E-2</v>
      </c>
      <c r="G34">
        <v>256</v>
      </c>
      <c r="H34" s="123">
        <f t="shared" si="6"/>
        <v>2770.3445655023438</v>
      </c>
      <c r="I34">
        <v>3</v>
      </c>
      <c r="J34">
        <f t="shared" si="7"/>
        <v>768</v>
      </c>
      <c r="K34">
        <v>3</v>
      </c>
      <c r="L34">
        <v>0</v>
      </c>
      <c r="M34">
        <v>0</v>
      </c>
    </row>
    <row r="35" spans="2:13" x14ac:dyDescent="0.25">
      <c r="B35">
        <v>3036</v>
      </c>
      <c r="C35" t="s">
        <v>73</v>
      </c>
      <c r="D35" s="122">
        <v>8.5079999999999989E-2</v>
      </c>
      <c r="F35" s="122">
        <v>8.5079999999999989E-2</v>
      </c>
      <c r="G35">
        <v>264.5</v>
      </c>
      <c r="H35" s="123">
        <f t="shared" si="6"/>
        <v>5362.632958552741</v>
      </c>
      <c r="I35">
        <v>5</v>
      </c>
      <c r="J35">
        <f t="shared" si="7"/>
        <v>1322.5</v>
      </c>
      <c r="K35">
        <v>5</v>
      </c>
      <c r="L35">
        <v>0</v>
      </c>
      <c r="M35">
        <v>0</v>
      </c>
    </row>
    <row r="36" spans="2:13" x14ac:dyDescent="0.25">
      <c r="B36">
        <v>2059</v>
      </c>
      <c r="C36" t="s">
        <v>74</v>
      </c>
      <c r="D36" s="122">
        <v>8.5079999999999989E-2</v>
      </c>
      <c r="F36" s="122">
        <v>8.5079999999999989E-2</v>
      </c>
      <c r="G36">
        <v>5520</v>
      </c>
      <c r="H36" s="123">
        <f t="shared" si="6"/>
        <v>256.95949593065217</v>
      </c>
      <c r="I36">
        <v>0.3</v>
      </c>
      <c r="J36">
        <f t="shared" si="7"/>
        <v>1656</v>
      </c>
      <c r="K36">
        <v>0.3</v>
      </c>
      <c r="L36">
        <v>0</v>
      </c>
      <c r="M36">
        <v>0</v>
      </c>
    </row>
    <row r="37" spans="2:13" x14ac:dyDescent="0.25">
      <c r="B37">
        <v>3055</v>
      </c>
      <c r="C37" t="s">
        <v>75</v>
      </c>
      <c r="D37" s="122">
        <v>2.1269999999999997E-2</v>
      </c>
      <c r="F37" s="122">
        <v>2.1269999999999997E-2</v>
      </c>
      <c r="G37">
        <v>100</v>
      </c>
      <c r="H37" s="123">
        <f t="shared" si="6"/>
        <v>3546.0410438429999</v>
      </c>
      <c r="I37">
        <v>4</v>
      </c>
      <c r="J37">
        <f t="shared" si="7"/>
        <v>400</v>
      </c>
      <c r="K37">
        <v>4</v>
      </c>
      <c r="L37">
        <v>0</v>
      </c>
      <c r="M37">
        <v>0</v>
      </c>
    </row>
    <row r="38" spans="2:13" x14ac:dyDescent="0.25">
      <c r="B38">
        <v>3209</v>
      </c>
      <c r="C38" t="s">
        <v>76</v>
      </c>
      <c r="D38" s="122">
        <v>2.1269999999999997E-2</v>
      </c>
      <c r="E38" s="121"/>
      <c r="F38" s="122">
        <v>2.1269999999999997E-2</v>
      </c>
      <c r="G38">
        <v>60.5</v>
      </c>
      <c r="H38" s="123">
        <f t="shared" si="6"/>
        <v>5861.2248658561984</v>
      </c>
      <c r="I38">
        <v>6</v>
      </c>
      <c r="J38">
        <f t="shared" si="7"/>
        <v>363</v>
      </c>
      <c r="K38">
        <v>6</v>
      </c>
      <c r="L38">
        <v>0</v>
      </c>
      <c r="M38">
        <v>0</v>
      </c>
    </row>
    <row r="39" spans="2:13" x14ac:dyDescent="0.25">
      <c r="B39">
        <v>4973</v>
      </c>
      <c r="C39" t="s">
        <v>77</v>
      </c>
      <c r="D39" s="122">
        <v>2.1269999999999997E-2</v>
      </c>
      <c r="E39" s="121"/>
      <c r="F39" s="122">
        <v>2.1269999999999997E-2</v>
      </c>
      <c r="G39">
        <v>109.5</v>
      </c>
      <c r="H39" s="123">
        <f t="shared" si="6"/>
        <v>3238.3936473452054</v>
      </c>
      <c r="I39">
        <v>3</v>
      </c>
      <c r="J39">
        <f t="shared" si="7"/>
        <v>328.5</v>
      </c>
      <c r="K39">
        <v>3</v>
      </c>
      <c r="L39">
        <v>0</v>
      </c>
      <c r="M39">
        <v>0</v>
      </c>
    </row>
    <row r="40" spans="2:13" x14ac:dyDescent="0.25">
      <c r="B40">
        <v>6166</v>
      </c>
      <c r="C40" t="s">
        <v>78</v>
      </c>
      <c r="D40" s="122">
        <v>4.2539999999999994E-2</v>
      </c>
      <c r="E40" s="121"/>
      <c r="F40" s="122">
        <v>4.2539999999999994E-2</v>
      </c>
      <c r="G40">
        <v>92.7</v>
      </c>
      <c r="H40" s="123">
        <f t="shared" si="6"/>
        <v>7650.5739888737862</v>
      </c>
      <c r="I40">
        <v>7</v>
      </c>
      <c r="J40">
        <f t="shared" si="7"/>
        <v>648.9</v>
      </c>
      <c r="K40">
        <v>7</v>
      </c>
      <c r="L40">
        <v>0</v>
      </c>
      <c r="M40">
        <v>0</v>
      </c>
    </row>
    <row r="41" spans="2:13" x14ac:dyDescent="0.25">
      <c r="B41">
        <v>6206</v>
      </c>
      <c r="C41" t="s">
        <v>79</v>
      </c>
      <c r="D41" s="122">
        <v>4.2539999999999994E-2</v>
      </c>
      <c r="E41" s="121"/>
      <c r="F41" s="122">
        <v>4.2539999999999994E-2</v>
      </c>
      <c r="G41">
        <v>130.5</v>
      </c>
      <c r="H41" s="123">
        <f t="shared" si="6"/>
        <v>5434.5456610620695</v>
      </c>
      <c r="I41">
        <v>5</v>
      </c>
      <c r="J41">
        <f t="shared" si="7"/>
        <v>652.5</v>
      </c>
      <c r="K41">
        <v>5</v>
      </c>
      <c r="L41">
        <v>0</v>
      </c>
      <c r="M41">
        <v>0</v>
      </c>
    </row>
    <row r="42" spans="2:13" x14ac:dyDescent="0.25">
      <c r="B42">
        <v>6274</v>
      </c>
      <c r="C42" t="s">
        <v>80</v>
      </c>
      <c r="D42" s="122">
        <v>8.5079999999999989E-2</v>
      </c>
      <c r="E42" s="121"/>
      <c r="F42" s="122">
        <v>8.5079999999999989E-2</v>
      </c>
      <c r="G42">
        <v>1455</v>
      </c>
      <c r="H42" s="123">
        <f t="shared" si="6"/>
        <v>974.85664435546391</v>
      </c>
      <c r="I42">
        <v>1</v>
      </c>
      <c r="J42">
        <f t="shared" si="7"/>
        <v>1455</v>
      </c>
      <c r="K42">
        <v>1</v>
      </c>
      <c r="L42">
        <v>0</v>
      </c>
      <c r="M42">
        <v>0</v>
      </c>
    </row>
    <row r="43" spans="2:13" x14ac:dyDescent="0.25">
      <c r="B43">
        <v>7610</v>
      </c>
      <c r="C43" t="s">
        <v>81</v>
      </c>
      <c r="D43" s="122">
        <v>4.2539999999999994E-2</v>
      </c>
      <c r="E43" s="121"/>
      <c r="F43" s="122">
        <v>4.2539999999999994E-2</v>
      </c>
      <c r="G43">
        <v>830</v>
      </c>
      <c r="H43" s="123">
        <f t="shared" si="6"/>
        <v>854.46772140795179</v>
      </c>
      <c r="I43">
        <v>1</v>
      </c>
      <c r="J43">
        <f t="shared" si="7"/>
        <v>830</v>
      </c>
      <c r="K43">
        <v>1</v>
      </c>
      <c r="L43">
        <v>0</v>
      </c>
      <c r="M43">
        <v>0</v>
      </c>
    </row>
    <row r="44" spans="2:13" x14ac:dyDescent="0.25">
      <c r="B44">
        <v>8227</v>
      </c>
      <c r="C44" t="s">
        <v>82</v>
      </c>
      <c r="D44" s="122">
        <v>4.2539999999999994E-2</v>
      </c>
      <c r="E44" s="121"/>
      <c r="F44" s="122">
        <v>4.2539999999999994E-2</v>
      </c>
      <c r="G44">
        <v>226</v>
      </c>
      <c r="H44" s="123">
        <f t="shared" si="6"/>
        <v>3138.0894193300887</v>
      </c>
      <c r="I44">
        <v>3</v>
      </c>
      <c r="J44">
        <f t="shared" si="7"/>
        <v>678</v>
      </c>
      <c r="K44">
        <v>3</v>
      </c>
      <c r="L44">
        <v>0</v>
      </c>
      <c r="M44">
        <v>0</v>
      </c>
    </row>
    <row r="45" spans="2:13" x14ac:dyDescent="0.25">
      <c r="B45">
        <v>6531</v>
      </c>
      <c r="C45" t="s">
        <v>83</v>
      </c>
      <c r="D45" s="122">
        <v>4.2539999999999994E-2</v>
      </c>
      <c r="F45" s="122">
        <v>4.2539999999999994E-2</v>
      </c>
      <c r="G45">
        <v>962</v>
      </c>
      <c r="H45" s="123">
        <f t="shared" si="6"/>
        <v>737.22267023762993</v>
      </c>
      <c r="I45">
        <v>1</v>
      </c>
      <c r="J45">
        <f t="shared" si="7"/>
        <v>962</v>
      </c>
      <c r="K45">
        <v>1</v>
      </c>
      <c r="L45">
        <v>0</v>
      </c>
      <c r="M45">
        <v>0</v>
      </c>
    </row>
    <row r="48" spans="2:13" x14ac:dyDescent="0.25">
      <c r="I48">
        <f>586.7-295</f>
        <v>291.70000000000005</v>
      </c>
    </row>
  </sheetData>
  <mergeCells count="2">
    <mergeCell ref="B18:C18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2026-09-04T05:49:19Z</dcterms:modified>
  <cp:category/>
  <cp:contentStatus/>
</cp:coreProperties>
</file>