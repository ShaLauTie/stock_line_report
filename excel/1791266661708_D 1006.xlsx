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1AC589AB-4CF6-4338-ACD7-52E390A174D4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D5" i="17"/>
  <c r="F10" i="2"/>
  <c r="D10" i="17"/>
  <c r="F9" i="2"/>
  <c r="D9" i="17"/>
  <c r="F8" i="2"/>
  <c r="D8" i="17"/>
  <c r="F7" i="2"/>
  <c r="D7" i="17"/>
  <c r="F6" i="2"/>
  <c r="D3" i="17"/>
  <c r="F5" i="2"/>
  <c r="D6" i="17"/>
  <c r="F4" i="2"/>
  <c r="R190" i="36"/>
  <c r="Q190" i="36"/>
  <c r="R188" i="36"/>
  <c r="Q188" i="36"/>
  <c r="N188" i="36"/>
  <c r="R187" i="36"/>
  <c r="Q187" i="36"/>
  <c r="N187" i="36"/>
  <c r="R186" i="36"/>
  <c r="Q186" i="36"/>
  <c r="N186" i="36"/>
  <c r="R185" i="36"/>
  <c r="Q185" i="36"/>
  <c r="N185" i="36"/>
  <c r="R184" i="36"/>
  <c r="Q184" i="36"/>
  <c r="N184" i="36"/>
  <c r="F7" i="17"/>
  <c r="F8" i="17"/>
  <c r="F3" i="17"/>
  <c r="I11" i="17"/>
  <c r="G11" i="17"/>
  <c r="F4" i="17"/>
  <c r="F6" i="17"/>
  <c r="F5" i="17"/>
  <c r="F10" i="17"/>
  <c r="F9" i="17"/>
  <c r="D17" i="17"/>
  <c r="H17" i="17"/>
  <c r="J17" i="17"/>
  <c r="D16" i="17"/>
  <c r="H16" i="17"/>
  <c r="J16" i="17"/>
  <c r="C20" i="2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H13" i="17"/>
  <c r="J13" i="17"/>
  <c r="G13" i="17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143" i="36"/>
  <c r="P62" i="36"/>
  <c r="P157" i="36"/>
  <c r="P75" i="36"/>
  <c r="P60" i="36"/>
  <c r="P166" i="36"/>
  <c r="P59" i="36"/>
  <c r="P177" i="36"/>
  <c r="P155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P50" i="36"/>
  <c r="P32" i="36"/>
  <c r="P39" i="36"/>
  <c r="P132" i="36"/>
  <c r="P10" i="36"/>
  <c r="P111" i="36"/>
  <c r="P110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F11" i="17"/>
  <c r="G19" i="17"/>
  <c r="O5" i="17"/>
  <c r="H5" i="17"/>
  <c r="J5" i="17"/>
  <c r="O10" i="17"/>
  <c r="H10" i="17"/>
  <c r="J10" i="17"/>
  <c r="O9" i="17"/>
  <c r="H9" i="17"/>
  <c r="J9" i="17"/>
  <c r="H8" i="17"/>
  <c r="J8" i="17"/>
  <c r="O8" i="17"/>
  <c r="O7" i="17"/>
  <c r="H7" i="17"/>
  <c r="J7" i="17"/>
  <c r="O3" i="17"/>
  <c r="H3" i="17"/>
  <c r="J3" i="17"/>
  <c r="O6" i="17"/>
  <c r="H6" i="17"/>
  <c r="J6" i="17"/>
  <c r="F14" i="2"/>
  <c r="F23" i="2"/>
  <c r="D4" i="17"/>
  <c r="D15" i="17"/>
  <c r="P190" i="36"/>
  <c r="P188" i="36"/>
  <c r="P187" i="36"/>
  <c r="P186" i="36"/>
  <c r="P185" i="36"/>
  <c r="P184" i="36"/>
  <c r="O190" i="36"/>
  <c r="O188" i="36"/>
  <c r="O187" i="36"/>
  <c r="O186" i="36"/>
  <c r="O185" i="36"/>
  <c r="O184" i="36"/>
  <c r="D11" i="17"/>
  <c r="D19" i="17"/>
  <c r="E15" i="17"/>
  <c r="O4" i="17"/>
  <c r="O11" i="17"/>
  <c r="H4" i="17"/>
  <c r="F20" i="2"/>
  <c r="H27" i="2"/>
  <c r="H15" i="17"/>
  <c r="J15" i="17"/>
  <c r="J4" i="17"/>
  <c r="H11" i="17"/>
  <c r="J11" i="17"/>
  <c r="K190" i="36"/>
  <c r="D18" i="17"/>
  <c r="H38" i="2"/>
  <c r="H28" i="2"/>
  <c r="H39" i="2"/>
  <c r="H40" i="2"/>
  <c r="H41" i="2"/>
  <c r="H37" i="2"/>
  <c r="H35" i="2"/>
  <c r="H33" i="2"/>
  <c r="H42" i="2"/>
  <c r="H43" i="2"/>
  <c r="H30" i="2"/>
  <c r="H32" i="2"/>
  <c r="H31" i="2"/>
  <c r="H29" i="2"/>
  <c r="H36" i="2"/>
  <c r="H34" i="2"/>
  <c r="H19" i="17"/>
  <c r="J19" i="17"/>
  <c r="E12" i="17"/>
  <c r="B190" i="36"/>
  <c r="E2" i="36"/>
  <c r="E17" i="17"/>
  <c r="E3" i="17"/>
  <c r="E6" i="17"/>
  <c r="E16" i="17"/>
  <c r="E9" i="17"/>
  <c r="B2" i="36"/>
  <c r="E5" i="17"/>
  <c r="E10" i="17"/>
  <c r="E7" i="17"/>
  <c r="E19" i="17"/>
  <c r="D21" i="17"/>
  <c r="D22" i="17"/>
  <c r="E4" i="17"/>
  <c r="E8" i="17"/>
  <c r="T190" i="36"/>
  <c r="C190" i="36"/>
  <c r="E190" i="36"/>
  <c r="E11" i="17"/>
  <c r="N190" i="36"/>
  <c r="S190" i="36"/>
  <c r="D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<sst xmlns="http://schemas.openxmlformats.org/spreadsheetml/2006/main" count="118" uniqueCount="105">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</sst>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總表!$A$7:$A$194</c:f>
              <c:numCache>
                <c:formatCode>m/d/yy</c:formatCode>
                <c:ptCount val="18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</c:numCache>
            </c:numRef>
          </c:cat>
          <c:val>
            <c:numRef>
              <c:f>總表!$N$7:$N$194</c:f>
              <c:numCache>
                <c:formatCode>0.0%</c:formatCode>
                <c:ptCount val="188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1.3005139587912153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總表!$A$7:$A$194</c:f>
              <c:numCache>
                <c:formatCode>m/d/yy</c:formatCode>
                <c:ptCount val="18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</c:numCache>
            </c:numRef>
          </c:cat>
          <c:val>
            <c:numRef>
              <c:f>總表!$Q$7:$Q$194</c:f>
              <c:numCache>
                <c:formatCode>0.0%</c:formatCode>
                <c:ptCount val="188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0.74418998093951427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總表!$A$7:$A$194</c:f>
              <c:numCache>
                <c:formatCode>m/d/yy</c:formatCode>
                <c:ptCount val="18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</c:numCache>
            </c:numRef>
          </c:cat>
          <c:val>
            <c:numRef>
              <c:f>總表!$R$7:$R$194</c:f>
              <c:numCache>
                <c:formatCode>0.0%</c:formatCode>
                <c:ptCount val="188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0.59364783737195626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190</xdr:row>
      <xdr:rowOff>185464</xdr:rowOff>
    </xdr:from>
    <xdr:to>
      <xdr:col>20</xdr:col>
      <xdr:colOff>39252</xdr:colOff>
      <xdr:row>211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PP/Desktop/&#35352;&#24115;&#26032;/&#33258;&#24049;/202610/&#32929;&#31080;&#32317;&#37096;&#20301;&#24115;20261006.xlsx" TargetMode="External"/><Relationship Id="rId1" Type="http://schemas.openxmlformats.org/officeDocument/2006/relationships/externalLinkPath" Target="/Users/PPP/Desktop/&#35352;&#24115;&#26032;/&#33258;&#24049;/202610/&#32929;&#31080;&#32317;&#37096;&#20301;&#24115;20261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2270</v>
          </cell>
        </row>
        <row r="5">
          <cell r="B5" t="str">
            <v>富邦科技0052</v>
          </cell>
          <cell r="C5">
            <v>0</v>
          </cell>
          <cell r="D5">
            <v>67.900000000000006</v>
          </cell>
        </row>
        <row r="6">
          <cell r="B6" t="str">
            <v>台灣50正2</v>
          </cell>
          <cell r="C6">
            <v>0</v>
          </cell>
          <cell r="D6">
            <v>41.77</v>
          </cell>
        </row>
        <row r="7">
          <cell r="B7" t="str">
            <v>騰雲</v>
          </cell>
          <cell r="C7">
            <v>0</v>
          </cell>
          <cell r="D7">
            <v>321.5</v>
          </cell>
        </row>
        <row r="8">
          <cell r="B8" t="str">
            <v>南亞</v>
          </cell>
          <cell r="C8">
            <v>0</v>
          </cell>
          <cell r="D8">
            <v>296</v>
          </cell>
        </row>
        <row r="9">
          <cell r="B9" t="str">
            <v>聯茂</v>
          </cell>
          <cell r="D9">
            <v>794</v>
          </cell>
        </row>
        <row r="10">
          <cell r="B10" t="str">
            <v>仲恩生醫</v>
          </cell>
          <cell r="C10">
            <v>0</v>
          </cell>
          <cell r="D10">
            <v>205</v>
          </cell>
        </row>
        <row r="11">
          <cell r="B11" t="str">
            <v>仁新</v>
          </cell>
          <cell r="C11">
            <v>38004</v>
          </cell>
          <cell r="D11">
            <v>180</v>
          </cell>
        </row>
        <row r="12">
          <cell r="B12" t="str">
            <v>SPCX</v>
          </cell>
          <cell r="C12">
            <v>0</v>
          </cell>
          <cell r="D12">
            <v>171.09</v>
          </cell>
        </row>
        <row r="13">
          <cell r="B13" t="str">
            <v>SPAL</v>
          </cell>
          <cell r="C13">
            <v>0</v>
          </cell>
          <cell r="D13">
            <v>21.72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1"/>
  <sheetViews>
    <sheetView tabSelected="1" topLeftCell="A2" zoomScale="70" zoomScaleNormal="70" workbookViewId="0">
      <pane xSplit="1" ySplit="5" topLeftCell="D163" activePane="bottomRight" state="frozen"/>
      <selection activeCell="A2" sqref="A2"/>
      <selection pane="bottomLeft" activeCell="B5" sqref="B5"/>
      <selection pane="topRight" activeCell="B5" sqref="B5"/>
      <selection pane="bottomRight" activeCell="N181" sqref="N180:N181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按股票分類!D19</f>
        <v>28481214</v>
      </c>
      <c r="C2" s="35"/>
      <c r="D2" s="35"/>
      <c r="E2" s="36">
        <f>按股票分類!D11/按股票分類!D19</f>
        <v>1.5383866712984917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46301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90" si="339">C184/C$7-1</f>
        <v>1.4360282447132033</v>
      </c>
      <c r="O184" s="61" t="e">
        <f t="shared" ref="O184:O190" si="340">G184/G$7-1</f>
        <v>#REF!</v>
      </c>
      <c r="P184" s="61" t="e">
        <f t="shared" ref="P184:P190" si="341">J184/J$7-1</f>
        <v>#REF!</v>
      </c>
      <c r="Q184" s="61">
        <f t="shared" ref="Q184:Q190" si="342">L184/L$7-1</f>
        <v>0.68497411008834108</v>
      </c>
      <c r="R184" s="61">
        <f t="shared" ref="R184:R190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5" x14ac:dyDescent="0.1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5" x14ac:dyDescent="0.1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5" x14ac:dyDescent="0.1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39"/>
        <v>1.2315317312810521</v>
      </c>
      <c r="O187" s="61" t="e">
        <f t="shared" si="340"/>
        <v>#REF!</v>
      </c>
      <c r="P187" s="61" t="e">
        <f t="shared" si="341"/>
        <v>#REF!</v>
      </c>
      <c r="Q187" s="61">
        <f t="shared" si="342"/>
        <v>0.69652404834887527</v>
      </c>
      <c r="R187" s="61">
        <f t="shared" si="343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5" x14ac:dyDescent="0.1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39"/>
        <v>1.258712946382055</v>
      </c>
      <c r="O188" s="61" t="e">
        <f t="shared" si="340"/>
        <v>#REF!</v>
      </c>
      <c r="P188" s="61" t="e">
        <f t="shared" si="341"/>
        <v>#REF!</v>
      </c>
      <c r="Q188" s="61">
        <f t="shared" si="342"/>
        <v>0.70081334045863541</v>
      </c>
      <c r="R188" s="61">
        <f t="shared" si="343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5" x14ac:dyDescent="0.1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v>1.2767809847363205</v>
      </c>
      <c r="O189" s="61" t="e">
        <v>#REF!</v>
      </c>
      <c r="P189" s="61" t="e">
        <v>#REF!</v>
      </c>
      <c r="Q189" s="61">
        <v>0.74418998093951427</v>
      </c>
      <c r="R189" s="61"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7.100000000000001" customHeight="1" x14ac:dyDescent="0.15">
      <c r="A190" s="55">
        <v>46301</v>
      </c>
      <c r="B190" s="56">
        <f>按股票分類!D19</f>
        <v>28481214</v>
      </c>
      <c r="C190" s="79">
        <f>B190/D190</f>
        <v>23.005139587912154</v>
      </c>
      <c r="D190" s="58">
        <v>1238037</v>
      </c>
      <c r="E190" s="58">
        <f>B190-B189</f>
        <v>293823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f>按股票分類!D11</f>
        <v>43815120</v>
      </c>
      <c r="L190" s="60">
        <v>114952.55</v>
      </c>
      <c r="M190" s="60">
        <v>804.33</v>
      </c>
      <c r="N190" s="61">
        <f t="shared" si="339"/>
        <v>1.3005139587912153</v>
      </c>
      <c r="O190" s="61" t="e">
        <f t="shared" si="340"/>
        <v>#REF!</v>
      </c>
      <c r="P190" s="61" t="e">
        <f t="shared" si="341"/>
        <v>#REF!</v>
      </c>
      <c r="Q190" s="61">
        <f t="shared" si="342"/>
        <v>0.74418998093951427</v>
      </c>
      <c r="R190" s="61">
        <f t="shared" si="343"/>
        <v>0.59364783737195626</v>
      </c>
      <c r="S190" s="83">
        <f>C190/MAX($C$7:C190)-1</f>
        <v>-5.5629193223062146E-2</v>
      </c>
      <c r="T190" s="62">
        <f>K190/B190</f>
        <v>1.5383866712984917</v>
      </c>
      <c r="U190" s="62">
        <v>0</v>
      </c>
    </row>
    <row r="191" spans="1:21" ht="15" x14ac:dyDescent="0.15">
      <c r="A191" s="55"/>
      <c r="B191" s="56"/>
      <c r="C191" s="61"/>
      <c r="D191" s="56"/>
      <c r="F191" s="58"/>
      <c r="G191" s="58"/>
      <c r="H191" s="58"/>
      <c r="I191" s="59"/>
      <c r="J191" s="59"/>
      <c r="K191" s="59"/>
      <c r="L191" s="60"/>
      <c r="M191" s="84"/>
      <c r="N191" s="61"/>
      <c r="O191" s="61"/>
      <c r="P191" s="61"/>
      <c r="Q191" s="61"/>
      <c r="R191" s="61"/>
      <c r="S191" s="61"/>
      <c r="T191" s="62"/>
      <c r="U191" s="62"/>
    </row>
    <row r="192" spans="1:21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58"/>
      <c r="R197" s="61"/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82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61"/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61" t="s">
        <v>21</v>
      </c>
      <c r="S200" s="61"/>
      <c r="T200" s="62"/>
      <c r="U200" s="62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61"/>
      <c r="S202" s="61"/>
      <c r="T202" s="62"/>
      <c r="U202" s="62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  <c r="W205" s="103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59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5" x14ac:dyDescent="0.1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5" x14ac:dyDescent="0.1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5" x14ac:dyDescent="0.1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5" x14ac:dyDescent="0.1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5" x14ac:dyDescent="0.1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</sheetData>
  <sheetProtection selectLockedCells="1"/>
  <phoneticPr fontId="1" type="noConversion"/>
  <conditionalFormatting sqref="S2:S5 S7:S190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1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0"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</conditionalFormatting>
  <conditionalFormatting sqref="T8:T190"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</conditionalFormatting>
  <conditionalFormatting sqref="T191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1:T421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0"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1:U421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T7:T190</xm:sqref>
        </x14:conditionalFormatting>
        <x14:conditionalFormatting xmlns:xm="http://schemas.microsoft.com/office/excel/2006/main"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T8:T190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T191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T191:T421</xm:sqref>
        </x14:conditionalFormatting>
        <x14:conditionalFormatting xmlns:xm="http://schemas.microsoft.com/office/excel/2006/main"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U8:U190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U191:U421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E23" sqref="E23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99</v>
      </c>
      <c r="D3" s="125">
        <f>帳戶!F6</f>
        <v>15968250</v>
      </c>
      <c r="E3" s="69">
        <f t="shared" ref="E3:E10" si="0">D3/$D$19</f>
        <v>0.56065903651438453</v>
      </c>
      <c r="F3" s="125">
        <f>帳戶!E6</f>
        <v>9342000</v>
      </c>
      <c r="G3" s="125">
        <v>15774100</v>
      </c>
      <c r="H3" s="94">
        <f t="shared" ref="H3" si="1">D3-G3</f>
        <v>194150</v>
      </c>
      <c r="I3" s="92">
        <v>9261000</v>
      </c>
      <c r="J3" s="21">
        <f t="shared" ref="J3" si="2">IFERROR(H3/G3,"n/a")</f>
        <v>1.2308150702734229E-2</v>
      </c>
      <c r="K3" s="29" t="s">
        <v>93</v>
      </c>
      <c r="L3" s="130"/>
      <c r="M3" s="130"/>
      <c r="N3" s="131"/>
      <c r="O3" s="98">
        <f>D3*0.1</f>
        <v>1596825</v>
      </c>
    </row>
    <row r="4" spans="3:15" x14ac:dyDescent="0.15">
      <c r="C4" s="124" t="s">
        <v>86</v>
      </c>
      <c r="D4" s="125">
        <f>帳戶!F4</f>
        <v>6821000</v>
      </c>
      <c r="E4" s="69">
        <f t="shared" si="0"/>
        <v>0.23949119584579506</v>
      </c>
      <c r="F4" s="125">
        <f>帳戶!E4</f>
        <v>0</v>
      </c>
      <c r="G4" s="125">
        <v>6574000</v>
      </c>
      <c r="H4" s="94">
        <f>D4-G4</f>
        <v>247000</v>
      </c>
      <c r="I4" s="92">
        <v>0</v>
      </c>
      <c r="J4" s="21">
        <f>IFERROR(H4/G4,"n/a")</f>
        <v>3.7572254335260118E-2</v>
      </c>
      <c r="K4" s="29" t="s">
        <v>84</v>
      </c>
      <c r="L4" s="130"/>
      <c r="M4" s="130"/>
      <c r="N4" s="131"/>
      <c r="O4" s="98">
        <f t="shared" ref="O4" si="3">D4*0.1</f>
        <v>682100</v>
      </c>
    </row>
    <row r="5" spans="3:15" x14ac:dyDescent="0.15">
      <c r="C5" s="124" t="s">
        <v>89</v>
      </c>
      <c r="D5" s="125">
        <f>帳戶!F11</f>
        <v>5143340</v>
      </c>
      <c r="E5" s="69">
        <f t="shared" si="0"/>
        <v>0.1805871055917771</v>
      </c>
      <c r="F5" s="125">
        <f>帳戶!E11</f>
        <v>1320000</v>
      </c>
      <c r="G5" s="125">
        <v>2678900</v>
      </c>
      <c r="H5" s="94">
        <f t="shared" ref="H5" si="4">D5-G5</f>
        <v>2464440</v>
      </c>
      <c r="I5" s="92">
        <v>0</v>
      </c>
      <c r="J5" s="21">
        <f t="shared" ref="J5" si="5">IFERROR(H5/G5,"n/a")</f>
        <v>0.91994475344357762</v>
      </c>
      <c r="K5" s="29" t="s">
        <v>87</v>
      </c>
      <c r="L5" s="130"/>
      <c r="M5" s="130"/>
      <c r="N5" s="131"/>
      <c r="O5" s="98">
        <f>D5*0.1</f>
        <v>514334</v>
      </c>
    </row>
    <row r="6" spans="3:15" x14ac:dyDescent="0.15">
      <c r="C6" s="124" t="s">
        <v>95</v>
      </c>
      <c r="D6" s="125">
        <f>帳戶!F5</f>
        <v>5000940</v>
      </c>
      <c r="E6" s="69">
        <f t="shared" si="0"/>
        <v>0.17558731871471489</v>
      </c>
      <c r="F6" s="125">
        <f>帳戶!E5</f>
        <v>0</v>
      </c>
      <c r="G6" s="125">
        <v>5457816</v>
      </c>
      <c r="H6" s="94">
        <f t="shared" ref="H6" si="6">D6-G6</f>
        <v>-456876</v>
      </c>
      <c r="I6" s="92">
        <v>0</v>
      </c>
      <c r="J6" s="21">
        <f t="shared" ref="J6" si="7">IFERROR(H6/G6,"n/a")</f>
        <v>-8.3710407239818999E-2</v>
      </c>
      <c r="K6" s="29" t="s">
        <v>84</v>
      </c>
      <c r="L6" s="130"/>
      <c r="M6" s="130"/>
      <c r="N6" s="131"/>
      <c r="O6" s="98">
        <f t="shared" ref="O6" si="8">D6*0.1</f>
        <v>500094</v>
      </c>
    </row>
    <row r="7" spans="3:15" x14ac:dyDescent="0.15">
      <c r="C7" s="124" t="s">
        <v>103</v>
      </c>
      <c r="D7" s="125">
        <f>帳戶!F7</f>
        <v>3393090</v>
      </c>
      <c r="E7" s="69">
        <f t="shared" si="0"/>
        <v>0.11913431779979604</v>
      </c>
      <c r="F7" s="125">
        <f>帳戶!E7</f>
        <v>704000</v>
      </c>
      <c r="G7" s="125">
        <v>3365550</v>
      </c>
      <c r="H7" s="94">
        <f>D7-G7</f>
        <v>27540</v>
      </c>
      <c r="I7" s="92">
        <v>454000</v>
      </c>
      <c r="J7" s="21">
        <f>IFERROR(H7/G7,"n/a")</f>
        <v>8.1829121540312882E-3</v>
      </c>
      <c r="K7" s="29" t="s">
        <v>93</v>
      </c>
      <c r="L7" s="130"/>
      <c r="M7" s="130"/>
      <c r="N7" s="131"/>
      <c r="O7" s="98">
        <f>D7*0.1</f>
        <v>339309</v>
      </c>
    </row>
    <row r="8" spans="3:15" x14ac:dyDescent="0.15">
      <c r="C8" s="124" t="s">
        <v>100</v>
      </c>
      <c r="D8" s="125">
        <f>帳戶!F8</f>
        <v>3228500</v>
      </c>
      <c r="E8" s="69">
        <f t="shared" si="0"/>
        <v>0.11335542087496692</v>
      </c>
      <c r="F8" s="125">
        <f>帳戶!E8</f>
        <v>1683000</v>
      </c>
      <c r="G8" s="125">
        <v>3146000</v>
      </c>
      <c r="H8" s="94">
        <f t="shared" ref="H8" si="9">D8-G8</f>
        <v>82500</v>
      </c>
      <c r="I8" s="92">
        <v>1683000</v>
      </c>
      <c r="J8" s="21">
        <f t="shared" ref="J8" si="10">IFERROR(H8/G8,"n/a")</f>
        <v>2.6223776223776224E-2</v>
      </c>
      <c r="K8" s="29" t="s">
        <v>93</v>
      </c>
      <c r="L8" s="130"/>
      <c r="M8" s="130"/>
      <c r="N8" s="131"/>
      <c r="O8" s="98">
        <f t="shared" ref="O8" si="11">D8*0.1</f>
        <v>322850</v>
      </c>
    </row>
    <row r="9" spans="3:15" x14ac:dyDescent="0.15">
      <c r="C9" s="124" t="s">
        <v>101</v>
      </c>
      <c r="D9" s="125">
        <f>帳戶!F9</f>
        <v>2361000</v>
      </c>
      <c r="E9" s="69">
        <f t="shared" si="0"/>
        <v>8.2896747308594365E-2</v>
      </c>
      <c r="F9" s="125">
        <f>帳戶!E9</f>
        <v>1153000</v>
      </c>
      <c r="G9" s="125">
        <v>2253000</v>
      </c>
      <c r="H9" s="94">
        <f t="shared" ref="H9" si="12">D9-G9</f>
        <v>108000</v>
      </c>
      <c r="I9" s="92">
        <v>1153000</v>
      </c>
      <c r="J9" s="21">
        <f t="shared" ref="J9" si="13">IFERROR(H9/G9,"n/a")</f>
        <v>4.7936085219707054E-2</v>
      </c>
      <c r="K9" s="29" t="s">
        <v>93</v>
      </c>
      <c r="L9" s="130"/>
      <c r="M9" s="130"/>
      <c r="N9" s="131"/>
      <c r="O9" s="98">
        <f>D9*0.1</f>
        <v>236100</v>
      </c>
    </row>
    <row r="10" spans="3:15" x14ac:dyDescent="0.15">
      <c r="C10" s="124" t="s">
        <v>92</v>
      </c>
      <c r="D10" s="125">
        <f>帳戶!F10</f>
        <v>1899000</v>
      </c>
      <c r="E10" s="69">
        <f t="shared" si="0"/>
        <v>6.6675528648462809E-2</v>
      </c>
      <c r="F10" s="125">
        <f>帳戶!E10</f>
        <v>1149000</v>
      </c>
      <c r="G10" s="125">
        <v>1935000</v>
      </c>
      <c r="H10" s="94">
        <f>D10-G10</f>
        <v>-36000</v>
      </c>
      <c r="I10" s="92">
        <v>1149000</v>
      </c>
      <c r="J10" s="21">
        <f>IFERROR(H10/G10,"n/a")</f>
        <v>-1.8604651162790697E-2</v>
      </c>
      <c r="K10" s="29" t="s">
        <v>90</v>
      </c>
      <c r="L10" s="130"/>
      <c r="M10" s="130"/>
      <c r="N10" s="131"/>
      <c r="O10" s="98">
        <f>D10*0.1</f>
        <v>189900</v>
      </c>
    </row>
    <row r="11" spans="3:15" ht="15.75" thickBot="1" x14ac:dyDescent="0.2">
      <c r="C11" s="18" t="s">
        <v>30</v>
      </c>
      <c r="D11" s="90">
        <f t="shared" ref="D11:I11" si="14">SUM(D3:D10)</f>
        <v>43815120</v>
      </c>
      <c r="E11" s="118">
        <f t="shared" si="14"/>
        <v>1.5383866712984917</v>
      </c>
      <c r="F11" s="90">
        <f t="shared" si="14"/>
        <v>15351000</v>
      </c>
      <c r="G11" s="90">
        <f t="shared" si="14"/>
        <v>41184366</v>
      </c>
      <c r="H11" s="90">
        <f t="shared" si="14"/>
        <v>2630754</v>
      </c>
      <c r="I11" s="90">
        <f t="shared" si="14"/>
        <v>13700000</v>
      </c>
      <c r="J11" s="86">
        <f t="shared" ref="J11:J13" si="15">IFERROR(H11/G11,"n/a")</f>
        <v>6.38774917647148E-2</v>
      </c>
      <c r="K11" s="86"/>
      <c r="L11" s="86"/>
      <c r="M11" s="86"/>
      <c r="N11" s="86"/>
      <c r="O11" s="126">
        <f>SUM(O3:O10)</f>
        <v>4381512</v>
      </c>
    </row>
    <row r="12" spans="3:15" ht="16.5" customHeight="1" x14ac:dyDescent="0.1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5"/>
        <v>n/a</v>
      </c>
      <c r="K12" s="107"/>
      <c r="L12" s="107"/>
      <c r="M12" s="107"/>
      <c r="N12" s="107"/>
      <c r="O12" s="100">
        <f>D12*0.1</f>
        <v>0</v>
      </c>
    </row>
    <row r="13" spans="3:15" ht="15.75" thickBot="1" x14ac:dyDescent="0.2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5"/>
        <v>n/a</v>
      </c>
      <c r="K13" s="86"/>
      <c r="L13" s="86"/>
      <c r="M13" s="86"/>
      <c r="N13" s="86"/>
      <c r="O13" s="99">
        <f>SUM(0)</f>
        <v>0</v>
      </c>
    </row>
    <row r="14" spans="3:15" x14ac:dyDescent="0.1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15">
      <c r="C15" s="71" t="s">
        <v>32</v>
      </c>
      <c r="D15" s="91">
        <f>帳戶!C20</f>
        <v>17094</v>
      </c>
      <c r="E15" s="69">
        <f>D15/$D$19</f>
        <v>6.001850904248674E-4</v>
      </c>
      <c r="F15" s="69"/>
      <c r="G15" s="91">
        <v>703025</v>
      </c>
      <c r="H15" s="94">
        <f>D15-G15</f>
        <v>-685931</v>
      </c>
      <c r="I15" s="22"/>
      <c r="J15" s="70">
        <f>H15/G15</f>
        <v>-0.97568507521069658</v>
      </c>
      <c r="K15" s="29" t="s">
        <v>32</v>
      </c>
      <c r="L15" s="29"/>
      <c r="M15" s="29"/>
      <c r="N15" s="29"/>
      <c r="O15" s="98"/>
    </row>
    <row r="16" spans="3:15" x14ac:dyDescent="0.1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1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5.75" thickBot="1" x14ac:dyDescent="0.2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5.75" thickBot="1" x14ac:dyDescent="0.2">
      <c r="C19" s="18" t="s">
        <v>30</v>
      </c>
      <c r="D19" s="90">
        <f>D11+D15-F11+D17+D16</f>
        <v>28481214</v>
      </c>
      <c r="E19" s="118">
        <f>D19/$D$19</f>
        <v>1</v>
      </c>
      <c r="F19" s="20"/>
      <c r="G19" s="90">
        <f>G11+G15-I11+G17+G16</f>
        <v>28187391</v>
      </c>
      <c r="H19" s="95">
        <f t="shared" ref="H19" si="16">D19-G19</f>
        <v>293823</v>
      </c>
      <c r="I19" s="19"/>
      <c r="J19" s="20">
        <f>H19/G19</f>
        <v>1.0423916140376382E-2</v>
      </c>
      <c r="K19" s="20"/>
      <c r="L19" s="20"/>
      <c r="M19" s="20"/>
      <c r="N19" s="20"/>
      <c r="O19" s="99"/>
    </row>
    <row r="20" spans="2:15" x14ac:dyDescent="0.15">
      <c r="C20" s="119" t="s">
        <v>35</v>
      </c>
      <c r="D20" s="120">
        <v>28187391</v>
      </c>
      <c r="E20" s="23"/>
      <c r="G20" s="23"/>
      <c r="I20" s="26"/>
      <c r="O20" s="97"/>
    </row>
    <row r="21" spans="2:15" ht="18.75" customHeight="1" x14ac:dyDescent="0.15">
      <c r="C21" s="11" t="s">
        <v>36</v>
      </c>
      <c r="D21" s="93">
        <f>D19-D20</f>
        <v>293823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5.75" thickBot="1" x14ac:dyDescent="0.2">
      <c r="C22" s="12" t="s">
        <v>37</v>
      </c>
      <c r="D22" s="13">
        <f>D21/D20</f>
        <v>1.0423916140376382E-2</v>
      </c>
      <c r="E22" s="23"/>
      <c r="F22" s="24"/>
      <c r="G22" s="23"/>
      <c r="H22" s="24"/>
      <c r="O22" s="97"/>
    </row>
    <row r="23" spans="2:15" x14ac:dyDescent="0.1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15">
      <c r="D24" s="25"/>
      <c r="E24" s="25"/>
    </row>
    <row r="26" spans="2:15" ht="17.25" customHeight="1" x14ac:dyDescent="0.15"/>
    <row r="28" spans="2:15" x14ac:dyDescent="0.15">
      <c r="G28" t="s">
        <v>21</v>
      </c>
    </row>
    <row r="29" spans="2:15" x14ac:dyDescent="0.15">
      <c r="B29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</conditionalFormatting>
  <conditionalFormatting sqref="E3:E14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4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</conditionalFormatting>
  <conditionalFormatting sqref="E15"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</conditionalFormatting>
  <conditionalFormatting sqref="E18:E20"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</conditionalFormatting>
  <conditionalFormatting sqref="E22"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</conditionalFormatting>
  <conditionalFormatting sqref="F22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D12" sqref="D12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38000</v>
      </c>
      <c r="D4" s="3">
        <v>179.5</v>
      </c>
      <c r="E4" s="2">
        <v>0</v>
      </c>
      <c r="F4" s="2">
        <f t="shared" ref="F4:F10" si="0">C4*D4</f>
        <v>6821000</v>
      </c>
    </row>
    <row r="5" spans="2:6" x14ac:dyDescent="0.15">
      <c r="B5" s="7" t="s">
        <v>94</v>
      </c>
      <c r="C5" s="2">
        <v>24696</v>
      </c>
      <c r="D5" s="3">
        <v>202.5</v>
      </c>
      <c r="E5" s="2">
        <v>0</v>
      </c>
      <c r="F5" s="2">
        <f t="shared" si="0"/>
        <v>5000940</v>
      </c>
    </row>
    <row r="6" spans="2:6" x14ac:dyDescent="0.15">
      <c r="B6" s="7" t="s">
        <v>96</v>
      </c>
      <c r="C6" s="2">
        <v>235000</v>
      </c>
      <c r="D6" s="3">
        <v>67.95</v>
      </c>
      <c r="E6" s="2">
        <v>9342000</v>
      </c>
      <c r="F6" s="2">
        <f t="shared" si="0"/>
        <v>15968250</v>
      </c>
    </row>
    <row r="7" spans="2:6" x14ac:dyDescent="0.15">
      <c r="B7" s="7" t="s">
        <v>102</v>
      </c>
      <c r="C7" s="2">
        <v>81000</v>
      </c>
      <c r="D7" s="3">
        <v>41.89</v>
      </c>
      <c r="E7" s="2">
        <v>704000</v>
      </c>
      <c r="F7" s="2">
        <f t="shared" ref="F7" si="1">C7*D7</f>
        <v>3393090</v>
      </c>
    </row>
    <row r="8" spans="2:6" x14ac:dyDescent="0.15">
      <c r="B8" s="7" t="s">
        <v>97</v>
      </c>
      <c r="C8" s="2">
        <v>11000</v>
      </c>
      <c r="D8" s="3">
        <v>293.5</v>
      </c>
      <c r="E8" s="2">
        <v>1683000</v>
      </c>
      <c r="F8" s="2">
        <f t="shared" si="0"/>
        <v>3228500</v>
      </c>
    </row>
    <row r="9" spans="2:6" x14ac:dyDescent="0.15">
      <c r="B9" s="7" t="s">
        <v>98</v>
      </c>
      <c r="C9" s="2">
        <v>3000</v>
      </c>
      <c r="D9" s="3">
        <v>787</v>
      </c>
      <c r="E9" s="2">
        <v>1153000</v>
      </c>
      <c r="F9" s="2">
        <f t="shared" si="0"/>
        <v>2361000</v>
      </c>
    </row>
    <row r="10" spans="2:6" x14ac:dyDescent="0.15">
      <c r="B10" s="7" t="s">
        <v>91</v>
      </c>
      <c r="C10" s="2">
        <v>6000</v>
      </c>
      <c r="D10" s="3">
        <v>316.5</v>
      </c>
      <c r="E10" s="2">
        <v>1149000</v>
      </c>
      <c r="F10" s="2">
        <f t="shared" si="0"/>
        <v>1899000</v>
      </c>
    </row>
    <row r="11" spans="2:6" x14ac:dyDescent="0.15">
      <c r="B11" s="7" t="s">
        <v>88</v>
      </c>
      <c r="C11" s="2">
        <v>2246</v>
      </c>
      <c r="D11" s="3">
        <v>2290</v>
      </c>
      <c r="E11" s="2">
        <v>1320000</v>
      </c>
      <c r="F11" s="2">
        <f t="shared" ref="F11" si="2">C11*D11</f>
        <v>5143340</v>
      </c>
    </row>
    <row r="12" spans="2:6" x14ac:dyDescent="0.15">
      <c r="B12" s="7"/>
      <c r="C12" s="2"/>
      <c r="D12" s="32"/>
      <c r="E12" s="3"/>
      <c r="F12" s="3"/>
    </row>
    <row r="13" spans="2:6" x14ac:dyDescent="0.15">
      <c r="C13" s="85"/>
    </row>
    <row r="14" spans="2:6" x14ac:dyDescent="0.15">
      <c r="D14" s="4" t="s">
        <v>57</v>
      </c>
      <c r="E14" s="9">
        <f>SUM(E4:E11)</f>
        <v>15351000</v>
      </c>
      <c r="F14" s="9">
        <f>SUM(F4:F11)</f>
        <v>43815120</v>
      </c>
    </row>
    <row r="15" spans="2:6" ht="15.75" thickBot="1" x14ac:dyDescent="0.2"/>
    <row r="16" spans="2:6" x14ac:dyDescent="0.15">
      <c r="B16" s="138" t="s">
        <v>32</v>
      </c>
      <c r="C16" s="139"/>
      <c r="D16" s="5"/>
      <c r="E16" s="5"/>
      <c r="F16" s="5"/>
    </row>
    <row r="17" spans="2:13" x14ac:dyDescent="0.15">
      <c r="B17" s="72" t="s">
        <v>43</v>
      </c>
      <c r="C17" s="8">
        <v>573</v>
      </c>
      <c r="E17" s="132">
        <v>31.9</v>
      </c>
      <c r="F17" s="5"/>
    </row>
    <row r="18" spans="2:13" x14ac:dyDescent="0.15">
      <c r="B18" s="72" t="s">
        <v>44</v>
      </c>
      <c r="C18" s="8">
        <v>702452</v>
      </c>
      <c r="E18" s="5"/>
      <c r="F18" s="5"/>
    </row>
    <row r="19" spans="2:13" x14ac:dyDescent="0.15">
      <c r="B19" s="72" t="s">
        <v>45</v>
      </c>
      <c r="C19" s="8">
        <v>-685931</v>
      </c>
      <c r="E19" s="5"/>
      <c r="F19" s="5"/>
    </row>
    <row r="20" spans="2:13" ht="15.75" thickBot="1" x14ac:dyDescent="0.2">
      <c r="B20" s="73" t="s">
        <v>46</v>
      </c>
      <c r="C20" s="74">
        <f>SUM(C17:C19)</f>
        <v>17094</v>
      </c>
      <c r="F20" s="129">
        <f>F23+期貨!C4</f>
        <v>28481214</v>
      </c>
    </row>
    <row r="21" spans="2:13" ht="15.75" thickBot="1" x14ac:dyDescent="0.2">
      <c r="B21" s="75" t="s">
        <v>33</v>
      </c>
      <c r="C21" s="76">
        <v>0</v>
      </c>
      <c r="F21" s="23"/>
    </row>
    <row r="23" spans="2:13" x14ac:dyDescent="0.15">
      <c r="D23" s="6" t="s">
        <v>47</v>
      </c>
      <c r="E23" s="6"/>
      <c r="F23" s="10">
        <f>F14+C20+C21-E14</f>
        <v>28481214</v>
      </c>
    </row>
    <row r="25" spans="2:13" x14ac:dyDescent="0.15">
      <c r="F25" s="129"/>
    </row>
    <row r="26" spans="2:13" x14ac:dyDescent="0.15">
      <c r="F26" s="23"/>
    </row>
    <row r="27" spans="2:13" x14ac:dyDescent="0.15">
      <c r="D27" s="121">
        <f>SUM(D28:D43)</f>
        <v>0.99969000000000019</v>
      </c>
      <c r="H27" s="23">
        <f>(F23+期貨!C4)*0.67</f>
        <v>19082413.380000003</v>
      </c>
      <c r="K27" t="s">
        <v>60</v>
      </c>
      <c r="L27" t="s">
        <v>61</v>
      </c>
      <c r="M27" t="s">
        <v>62</v>
      </c>
    </row>
    <row r="28" spans="2:13" x14ac:dyDescent="0.1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1520.1607962269666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1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4726.4388074829694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1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922.46121043772723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1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4173.6034199753212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1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3170.9604108796875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1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6138.1161828748582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1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294.11806709608697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1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4058.8293259259999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1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6708.8088031834714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1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3706.6934483342466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1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8756.9133245436897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1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6220.4280857103449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1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1115.8293679521651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1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978.03116287373496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1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3591.8843592265489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1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843.83146069147608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1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2026-10-06T04:14:40Z</dcterms:modified>
  <cp:category/>
  <cp:contentStatus/>
</cp:coreProperties>
</file>