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1471C8-94D4-4C16-BB6B-79C67CC89DA5}" xr6:coauthVersionLast="47" xr6:coauthVersionMax="47" xr10:uidLastSave="{00000000-0000-0000-0000-000000000000}"/>
  <bookViews>
    <workbookView xWindow="-110" yWindow="-110" windowWidth="19420" windowHeight="11500" tabRatio="922" firstSheet="1" activeTab="2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D15" i="17"/>
  <c r="H15" i="17"/>
  <c r="J15" i="17"/>
  <c r="R181" i="36"/>
  <c r="Q181" i="36"/>
  <c r="P181" i="36"/>
  <c r="O181" i="36"/>
  <c r="R180" i="36"/>
  <c r="Q180" i="36"/>
  <c r="P180" i="36"/>
  <c r="O180" i="36"/>
  <c r="N180" i="36"/>
  <c r="R179" i="36"/>
  <c r="Q179" i="36"/>
  <c r="P179" i="36"/>
  <c r="O179" i="36"/>
  <c r="N179" i="36"/>
  <c r="F3" i="17"/>
  <c r="F7" i="2"/>
  <c r="D3" i="17"/>
  <c r="F9" i="2"/>
  <c r="F8" i="2"/>
  <c r="D6" i="2"/>
  <c r="F6" i="2"/>
  <c r="F10" i="2"/>
  <c r="F11" i="2"/>
  <c r="D11" i="2"/>
  <c r="F4" i="2"/>
  <c r="F5" i="17"/>
  <c r="D9" i="17"/>
  <c r="D6" i="17"/>
  <c r="D8" i="17"/>
  <c r="D5" i="17"/>
  <c r="D10" i="17"/>
  <c r="F5" i="2"/>
  <c r="D7" i="17"/>
  <c r="F9" i="17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F8" i="17"/>
  <c r="F4" i="17"/>
  <c r="F6" i="17"/>
  <c r="D17" i="17"/>
  <c r="H17" i="17"/>
  <c r="J17" i="17"/>
  <c r="D16" i="17"/>
  <c r="H16" i="17"/>
  <c r="J16" i="17"/>
  <c r="I7" i="36"/>
  <c r="J7" i="36"/>
  <c r="G7" i="36"/>
  <c r="C171" i="36"/>
  <c r="R168" i="36"/>
  <c r="Q168" i="36"/>
  <c r="O168" i="36"/>
  <c r="N168" i="36"/>
  <c r="R167" i="36"/>
  <c r="Q167" i="36"/>
  <c r="O167" i="36"/>
  <c r="N167" i="36"/>
  <c r="R166" i="36"/>
  <c r="Q166" i="36"/>
  <c r="O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1" i="17"/>
  <c r="G11" i="17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/>
  <c r="O12" i="17"/>
  <c r="D13" i="17"/>
  <c r="G13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O65" i="36"/>
  <c r="O36" i="36"/>
  <c r="O15" i="36"/>
  <c r="O55" i="36"/>
  <c r="O80" i="36"/>
  <c r="O67" i="36"/>
  <c r="O49" i="36"/>
  <c r="O34" i="36"/>
  <c r="O133" i="36"/>
  <c r="O46" i="36"/>
  <c r="O56" i="36"/>
  <c r="O95" i="36"/>
  <c r="O96" i="36"/>
  <c r="O93" i="36"/>
  <c r="O43" i="36"/>
  <c r="O114" i="36"/>
  <c r="O28" i="36"/>
  <c r="O23" i="36"/>
  <c r="O162" i="36"/>
  <c r="O158" i="36"/>
  <c r="O157" i="36"/>
  <c r="O161" i="36"/>
  <c r="O29" i="36"/>
  <c r="O163" i="36"/>
  <c r="O74" i="36"/>
  <c r="O18" i="36"/>
  <c r="O79" i="36"/>
  <c r="O78" i="36"/>
  <c r="O152" i="36"/>
  <c r="O61" i="36"/>
  <c r="O124" i="36"/>
  <c r="O52" i="36"/>
  <c r="O139" i="36"/>
  <c r="O128" i="36"/>
  <c r="O109" i="36"/>
  <c r="O101" i="36"/>
  <c r="O8" i="36"/>
  <c r="O25" i="36"/>
  <c r="O22" i="36"/>
  <c r="O116" i="36"/>
  <c r="O88" i="36"/>
  <c r="O92" i="36"/>
  <c r="O10" i="36"/>
  <c r="O31" i="36"/>
  <c r="O69" i="36"/>
  <c r="O119" i="36"/>
  <c r="O143" i="36"/>
  <c r="O54" i="36"/>
  <c r="O58" i="36"/>
  <c r="O165" i="36"/>
  <c r="O164" i="36"/>
  <c r="O3" i="17"/>
  <c r="H3" i="17"/>
  <c r="J3" i="17"/>
  <c r="P178" i="36"/>
  <c r="P177" i="36"/>
  <c r="P176" i="36"/>
  <c r="P175" i="36"/>
  <c r="P174" i="36"/>
  <c r="P173" i="36"/>
  <c r="P172" i="36"/>
  <c r="O178" i="36"/>
  <c r="O177" i="36"/>
  <c r="O176" i="36"/>
  <c r="O175" i="36"/>
  <c r="O174" i="36"/>
  <c r="O173" i="36"/>
  <c r="O172" i="36"/>
  <c r="O5" i="17"/>
  <c r="H5" i="17"/>
  <c r="J5" i="17"/>
  <c r="P170" i="36"/>
  <c r="P29" i="36"/>
  <c r="P158" i="36"/>
  <c r="P37" i="36"/>
  <c r="P68" i="36"/>
  <c r="P39" i="36"/>
  <c r="P15" i="36"/>
  <c r="P59" i="36"/>
  <c r="P101" i="36"/>
  <c r="P86" i="36"/>
  <c r="P49" i="36"/>
  <c r="P140" i="36"/>
  <c r="P130" i="36"/>
  <c r="P23" i="36"/>
  <c r="P79" i="36"/>
  <c r="P64" i="36"/>
  <c r="P122" i="36"/>
  <c r="P30" i="36"/>
  <c r="P161" i="36"/>
  <c r="P142" i="36"/>
  <c r="P9" i="36"/>
  <c r="P141" i="36"/>
  <c r="P65" i="36"/>
  <c r="P88" i="36"/>
  <c r="P94" i="36"/>
  <c r="P52" i="36"/>
  <c r="P48" i="36"/>
  <c r="P47" i="36"/>
  <c r="P133" i="36"/>
  <c r="P22" i="36"/>
  <c r="P137" i="36"/>
  <c r="P82" i="36"/>
  <c r="P87" i="36"/>
  <c r="P146" i="36"/>
  <c r="P106" i="36"/>
  <c r="P75" i="36"/>
  <c r="P165" i="36"/>
  <c r="P169" i="36"/>
  <c r="P171" i="36"/>
  <c r="P58" i="36"/>
  <c r="P123" i="36"/>
  <c r="P105" i="36"/>
  <c r="P21" i="36"/>
  <c r="P81" i="36"/>
  <c r="P89" i="36"/>
  <c r="P125" i="36"/>
  <c r="P120" i="36"/>
  <c r="P155" i="36"/>
  <c r="P127" i="36"/>
  <c r="P164" i="36"/>
  <c r="P167" i="36"/>
  <c r="P168" i="36"/>
  <c r="P14" i="36"/>
  <c r="P145" i="36"/>
  <c r="P93" i="36"/>
  <c r="P154" i="36"/>
  <c r="P10" i="36"/>
  <c r="P25" i="36"/>
  <c r="P62" i="36"/>
  <c r="P112" i="36"/>
  <c r="P45" i="36"/>
  <c r="P160" i="36"/>
  <c r="P34" i="36"/>
  <c r="P156" i="36"/>
  <c r="P60" i="36"/>
  <c r="P27" i="36"/>
  <c r="P103" i="36"/>
  <c r="P11" i="36"/>
  <c r="P35" i="36"/>
  <c r="P72" i="36"/>
  <c r="P151" i="36"/>
  <c r="P18" i="36"/>
  <c r="P149" i="36"/>
  <c r="P111" i="36"/>
  <c r="P92" i="36"/>
  <c r="P121" i="36"/>
  <c r="P61" i="36"/>
  <c r="P46" i="36"/>
  <c r="P162" i="36"/>
  <c r="P163" i="36"/>
  <c r="P147" i="36"/>
  <c r="P31" i="36"/>
  <c r="P138" i="36"/>
  <c r="P107" i="36"/>
  <c r="P117" i="36"/>
  <c r="P115" i="36"/>
  <c r="P128" i="36"/>
  <c r="P83" i="36"/>
  <c r="P24" i="36"/>
  <c r="P76" i="36"/>
  <c r="P97" i="36"/>
  <c r="P152" i="36"/>
  <c r="P110" i="36"/>
  <c r="P100" i="36"/>
  <c r="P54" i="36"/>
  <c r="P85" i="36"/>
  <c r="P80" i="36"/>
  <c r="P28" i="36"/>
  <c r="P40" i="36"/>
  <c r="P42" i="36"/>
  <c r="P63" i="36"/>
  <c r="P13" i="36"/>
  <c r="P95" i="36"/>
  <c r="P139" i="36"/>
  <c r="P131" i="36"/>
  <c r="P38" i="36"/>
  <c r="P99" i="36"/>
  <c r="P157" i="36"/>
  <c r="P129" i="36"/>
  <c r="P118" i="36"/>
  <c r="P53" i="36"/>
  <c r="P153" i="36"/>
  <c r="P102" i="36"/>
  <c r="P16" i="36"/>
  <c r="P32" i="36"/>
  <c r="P26" i="36"/>
  <c r="P51" i="36"/>
  <c r="P33" i="36"/>
  <c r="P36" i="36"/>
  <c r="P132" i="36"/>
  <c r="P66" i="36"/>
  <c r="P70" i="36"/>
  <c r="P136" i="36"/>
  <c r="P17" i="36"/>
  <c r="P78" i="36"/>
  <c r="P159" i="36"/>
  <c r="P96" i="36"/>
  <c r="P73" i="36"/>
  <c r="P57" i="36"/>
  <c r="P84" i="36"/>
  <c r="P71" i="36"/>
  <c r="P91" i="36"/>
  <c r="P90" i="36"/>
  <c r="P150" i="36"/>
  <c r="P67" i="36"/>
  <c r="P119" i="36"/>
  <c r="P113" i="36"/>
  <c r="P44" i="36"/>
  <c r="P124" i="36"/>
  <c r="P41" i="36"/>
  <c r="P56" i="36"/>
  <c r="P77" i="36"/>
  <c r="P126" i="36"/>
  <c r="P104" i="36"/>
  <c r="P108" i="36"/>
  <c r="P55" i="36"/>
  <c r="P98" i="36"/>
  <c r="P12" i="36"/>
  <c r="P144" i="36"/>
  <c r="P19" i="36"/>
  <c r="P8" i="36"/>
  <c r="P148" i="36"/>
  <c r="P109" i="36"/>
  <c r="P116" i="36"/>
  <c r="P20" i="36"/>
  <c r="P43" i="36"/>
  <c r="P143" i="36"/>
  <c r="P50" i="36"/>
  <c r="P114" i="36"/>
  <c r="P74" i="36"/>
  <c r="P69" i="36"/>
  <c r="P166" i="36"/>
  <c r="O171" i="36"/>
  <c r="O169" i="36"/>
  <c r="O170" i="36"/>
  <c r="S171" i="36"/>
  <c r="N171" i="36"/>
  <c r="G19" i="17"/>
  <c r="O8" i="17"/>
  <c r="H8" i="17"/>
  <c r="J8" i="17"/>
  <c r="H13" i="17"/>
  <c r="J13" i="17"/>
  <c r="E14" i="2"/>
  <c r="F7" i="17"/>
  <c r="F11" i="17"/>
  <c r="H10" i="17"/>
  <c r="J10" i="17"/>
  <c r="O10" i="17"/>
  <c r="O7" i="17"/>
  <c r="H7" i="17"/>
  <c r="J7" i="17"/>
  <c r="O6" i="17"/>
  <c r="H6" i="17"/>
  <c r="J6" i="17"/>
  <c r="H9" i="17"/>
  <c r="J9" i="17"/>
  <c r="O9" i="17"/>
  <c r="D4" i="17"/>
  <c r="F14" i="2"/>
  <c r="F23" i="2"/>
  <c r="D11" i="17"/>
  <c r="H4" i="17"/>
  <c r="O4" i="17"/>
  <c r="O11" i="17"/>
  <c r="F20" i="2"/>
  <c r="H27" i="2"/>
  <c r="D18" i="17"/>
  <c r="K181" i="36"/>
  <c r="D19" i="17"/>
  <c r="E3" i="17"/>
  <c r="J4" i="17"/>
  <c r="H11" i="17"/>
  <c r="J11" i="17"/>
  <c r="E8" i="17"/>
  <c r="E5" i="17"/>
  <c r="H42" i="2"/>
  <c r="H40" i="2"/>
  <c r="H35" i="2"/>
  <c r="H41" i="2"/>
  <c r="H33" i="2"/>
  <c r="H34" i="2"/>
  <c r="H32" i="2"/>
  <c r="H31" i="2"/>
  <c r="H38" i="2"/>
  <c r="H39" i="2"/>
  <c r="H43" i="2"/>
  <c r="H28" i="2"/>
  <c r="H36" i="2"/>
  <c r="H30" i="2"/>
  <c r="H37" i="2"/>
  <c r="H29" i="2"/>
  <c r="E11" i="17"/>
  <c r="E2" i="36"/>
  <c r="E4" i="17"/>
  <c r="E16" i="17"/>
  <c r="E15" i="17"/>
  <c r="E9" i="17"/>
  <c r="E10" i="17"/>
  <c r="D21" i="17"/>
  <c r="D22" i="17"/>
  <c r="E6" i="17"/>
  <c r="B2" i="36"/>
  <c r="E7" i="17"/>
  <c r="E19" i="17"/>
  <c r="H19" i="17"/>
  <c r="J19" i="17"/>
  <c r="E12" i="17"/>
  <c r="B181" i="36"/>
  <c r="E181" i="36"/>
  <c r="E17" i="17"/>
  <c r="T181" i="36"/>
  <c r="C181" i="36"/>
  <c r="N181" i="36"/>
  <c r="S181" i="36"/>
  <c r="D1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<sst xmlns="http://schemas.openxmlformats.org/spreadsheetml/2006/main" count="118" uniqueCount="105">
  <si>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</si>
  <si>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</si>
  <si>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</si>
  <si>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</si>
  <si>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</si>
  <si>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</si>
  <si>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</si>
  <si>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</si>
  <si>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</si>
  <si>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</si>
  <si>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</si>
  <si>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</si>
  <si>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</si>
  <si>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</si>
  <si>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</si>
  <si>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</si>
  <si>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</si>
  <si>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</si>
  <si>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</si>
  <si>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</si>
  <si>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</si>
  <si>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</si>
  <si>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</si>
  <si>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</si>
  <si>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</si>
  <si>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</si>
  <si>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</si>
  <si>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</si>
  <si>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</si>
  <si>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</si>
  <si>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</si>
  <si>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</si>
  <si>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</si>
  <si>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</si>
  <si>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</si>
  <si>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</si>
  <si>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</si>
  <si>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</si>
  <si>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</si>
  <si>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</si>
  <si>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</si>
  <si>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</si>
  <si>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</si>
  <si>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</si>
  <si>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</si>
  <si>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</si>
  <si>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</si>
  <si>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</si>
  <si>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</si>
  <si>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</si>
  <si>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</si>
  <si>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</si>
  <si>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</si>
  <si>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</si>
  <si>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</si>
  <si>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</si>
  <si>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</si>
  <si>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</si>
  <si>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</si>
  <si>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</si>
  <si>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</si>
  <si>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</si>
  <si>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</si>
  <si>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</si>
  <si>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</si>
  <si>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</si>
  <si>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</si>
  <si>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</si>
  <si>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</si>
  <si>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</si>
  <si>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</si>
  <si>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</si>
  <si>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</si>
  <si>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</si>
  <si>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</si>
  <si>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</si>
  <si>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</si>
  <si>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</si>
  <si>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</si>
  <si>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</si>
  <si>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</si>
  <si>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</si>
  <si>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</si>
  <si>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</si>
  <si>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</si>
  <si>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</si>
  <si>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</si>
  <si>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台新新光金</t>
  </si>
  <si>
    <t>台新新光金(2887)</t>
  </si>
  <si>
    <t>金融</t>
  </si>
  <si>
    <t>緯穎</t>
  </si>
  <si>
    <t>緯穎(6669)</t>
  </si>
  <si>
    <t>金融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</si>
  <si>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</si>
  <si>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</si>
  <si>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</si>
  <si>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騰雲</t>
    <phoneticPr fontId="1" type="noConversion"/>
  </si>
  <si>
    <t>騰雲(6870)</t>
    <phoneticPr fontId="1" type="noConversion"/>
  </si>
  <si>
    <t>創意</t>
    <phoneticPr fontId="1" type="noConversion"/>
  </si>
  <si>
    <t>創意(3443)</t>
    <phoneticPr fontId="1" type="noConversion"/>
  </si>
  <si>
    <t>半導體</t>
    <phoneticPr fontId="1" type="noConversion"/>
  </si>
  <si>
    <t>聯發科</t>
    <phoneticPr fontId="1" type="noConversion"/>
  </si>
  <si>
    <t>聯發科(2454)</t>
    <phoneticPr fontId="1" type="noConversion"/>
  </si>
  <si>
    <t>仲恩生醫</t>
  </si>
  <si>
    <t>仲恩生醫(7729)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</si>
</sst>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76" formatCode="_-* #,##0_-;\-* #,##0_-;_-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_-* #,##0.00_-;\-* #,##0.00_-;_-* &quot;-&quot;_-;_-@_-"/>
    <numFmt numFmtId="180" formatCode="0.00_);[Red]\(0.00\)"/>
    <numFmt numFmtId="181" formatCode="0.0%"/>
    <numFmt numFmtId="182" formatCode="_-&quot;$&quot;* #,##0_-;\-&quot;$&quot;* #,##0_-;_-&quot;$&quot;* &quot;-&quot;??_-;_-@_-"/>
    <numFmt numFmtId="183" formatCode="_-* #,##0_-;\-* #,##0_-;_-* &quot;-&quot;??_-;_-@_-"/>
    <numFmt numFmtId="184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178" fontId="2" fillId="0" borderId="5" xfId="0" applyNumberFormat="1" applyFont="1" applyBorder="1">
      <alignment vertical="center"/>
    </xf>
    <xf numFmtId="177" fontId="2" fillId="2" borderId="1" xfId="1" applyFont="1" applyFill="1" applyBorder="1">
      <alignment vertical="center"/>
    </xf>
    <xf numFmtId="177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177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8" fontId="15" fillId="0" borderId="1" xfId="1" applyNumberFormat="1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78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3" fillId="0" borderId="0" xfId="0" applyFont="1">
      <alignment vertical="center"/>
    </xf>
    <xf numFmtId="179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3" fontId="20" fillId="0" borderId="20" xfId="3" applyNumberFormat="1" applyFont="1" applyBorder="1"/>
    <xf numFmtId="181" fontId="21" fillId="0" borderId="21" xfId="4" applyNumberFormat="1" applyFont="1" applyBorder="1" applyAlignment="1" applyProtection="1">
      <alignment horizontal="center" vertical="center"/>
    </xf>
    <xf numFmtId="183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3" fontId="0" fillId="0" borderId="0" xfId="5" applyNumberFormat="1" applyFont="1" applyBorder="1" applyAlignment="1" applyProtection="1"/>
    <xf numFmtId="178" fontId="0" fillId="0" borderId="2" xfId="5" applyFont="1" applyFill="1" applyBorder="1" applyAlignment="1" applyProtection="1"/>
    <xf numFmtId="178" fontId="0" fillId="0" borderId="2" xfId="5" applyFont="1" applyBorder="1" applyAlignment="1"/>
    <xf numFmtId="0" fontId="17" fillId="0" borderId="3" xfId="3" applyBorder="1"/>
    <xf numFmtId="183" fontId="0" fillId="0" borderId="23" xfId="5" applyNumberFormat="1" applyFont="1" applyFill="1" applyBorder="1" applyAlignment="1" applyProtection="1"/>
    <xf numFmtId="183" fontId="0" fillId="0" borderId="23" xfId="5" applyNumberFormat="1" applyFont="1" applyBorder="1" applyAlignment="1"/>
    <xf numFmtId="183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81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3" fontId="0" fillId="0" borderId="0" xfId="5" applyNumberFormat="1" applyFont="1" applyAlignment="1"/>
    <xf numFmtId="2" fontId="15" fillId="3" borderId="0" xfId="6" applyNumberFormat="1" applyFill="1">
      <alignment vertical="center"/>
    </xf>
    <xf numFmtId="181" fontId="0" fillId="0" borderId="0" xfId="4" applyNumberFormat="1" applyFont="1" applyAlignment="1"/>
    <xf numFmtId="9" fontId="17" fillId="8" borderId="0" xfId="3" applyNumberFormat="1" applyFill="1"/>
    <xf numFmtId="183" fontId="0" fillId="0" borderId="0" xfId="5" applyNumberFormat="1" applyFont="1" applyBorder="1" applyAlignment="1"/>
    <xf numFmtId="181" fontId="0" fillId="0" borderId="0" xfId="4" applyNumberFormat="1" applyFont="1" applyBorder="1" applyAlignment="1"/>
    <xf numFmtId="0" fontId="24" fillId="0" borderId="0" xfId="3" applyFont="1"/>
    <xf numFmtId="178" fontId="0" fillId="0" borderId="22" xfId="5" applyFont="1" applyBorder="1" applyAlignment="1"/>
    <xf numFmtId="183" fontId="0" fillId="0" borderId="24" xfId="5" applyNumberFormat="1" applyFont="1" applyBorder="1" applyAlignment="1"/>
    <xf numFmtId="9" fontId="17" fillId="7" borderId="0" xfId="2" applyFont="1" applyFill="1" applyAlignment="1"/>
    <xf numFmtId="181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177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178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4" fontId="0" fillId="0" borderId="0" xfId="4" applyNumberFormat="1" applyFont="1" applyAlignment="1"/>
    <xf numFmtId="181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178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2" fontId="12" fillId="0" borderId="13" xfId="0" applyNumberFormat="1" applyFont="1" applyBorder="1">
      <alignment vertical="center"/>
    </xf>
    <xf numFmtId="182" fontId="12" fillId="0" borderId="1" xfId="0" applyNumberFormat="1" applyFont="1" applyBorder="1">
      <alignment vertical="center"/>
    </xf>
    <xf numFmtId="183" fontId="0" fillId="0" borderId="1" xfId="1" applyNumberFormat="1" applyFont="1" applyBorder="1">
      <alignment vertical="center"/>
    </xf>
    <xf numFmtId="183" fontId="5" fillId="0" borderId="5" xfId="0" applyNumberFormat="1" applyFont="1" applyBorder="1">
      <alignment vertical="center"/>
    </xf>
    <xf numFmtId="183" fontId="15" fillId="0" borderId="1" xfId="1" applyNumberFormat="1" applyFont="1" applyBorder="1">
      <alignment vertical="center"/>
    </xf>
    <xf numFmtId="183" fontId="12" fillId="0" borderId="13" xfId="0" applyNumberFormat="1" applyFont="1" applyBorder="1">
      <alignment vertical="center"/>
    </xf>
    <xf numFmtId="183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3" fontId="15" fillId="0" borderId="5" xfId="1" applyNumberFormat="1" applyFont="1" applyBorder="1">
      <alignment vertical="center"/>
    </xf>
    <xf numFmtId="183" fontId="12" fillId="0" borderId="7" xfId="0" applyNumberFormat="1" applyFont="1" applyBorder="1">
      <alignment vertical="center"/>
    </xf>
    <xf numFmtId="183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3" fontId="0" fillId="0" borderId="14" xfId="1" applyNumberFormat="1" applyFont="1" applyBorder="1">
      <alignment vertical="center"/>
    </xf>
    <xf numFmtId="183" fontId="5" fillId="0" borderId="0" xfId="0" applyNumberFormat="1" applyFont="1">
      <alignment vertical="center"/>
    </xf>
    <xf numFmtId="181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80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3" fontId="0" fillId="2" borderId="29" xfId="0" applyNumberFormat="1" applyFill="1" applyBorder="1">
      <alignment vertical="center"/>
    </xf>
    <xf numFmtId="183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80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3" fontId="0" fillId="2" borderId="13" xfId="0" applyNumberFormat="1" applyFill="1" applyBorder="1">
      <alignment vertical="center"/>
    </xf>
    <xf numFmtId="183" fontId="0" fillId="2" borderId="7" xfId="0" applyNumberFormat="1" applyFill="1" applyBorder="1">
      <alignment vertical="center"/>
    </xf>
    <xf numFmtId="181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2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3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3" fontId="0" fillId="0" borderId="32" xfId="1" applyNumberFormat="1" applyFont="1" applyBorder="1">
      <alignment vertical="center"/>
    </xf>
    <xf numFmtId="182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177" fontId="2" fillId="0" borderId="1" xfId="1" applyFont="1" applyBorder="1" applyAlignment="1">
      <alignment vertical="center"/>
    </xf>
    <xf numFmtId="44" fontId="0" fillId="0" borderId="0" xfId="0" applyNumberFormat="1">
      <alignment vertical="center"/>
    </xf>
    <xf numFmtId="183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總表!$A$7:$A$185</c:f>
              <c:numCache>
                <c:formatCode>m/d/yy</c:formatCode>
                <c:ptCount val="17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</c:numCache>
            </c:numRef>
          </c:cat>
          <c:val>
            <c:numRef>
              <c:f>總表!$N$7:$N$185</c:f>
              <c:numCache>
                <c:formatCode>0.0%</c:formatCode>
                <c:ptCount val="179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總表!$A$7:$A$185</c:f>
              <c:numCache>
                <c:formatCode>m/d/yy</c:formatCode>
                <c:ptCount val="17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</c:numCache>
            </c:numRef>
          </c:cat>
          <c:val>
            <c:numRef>
              <c:f>總表!$Q$7:$Q$185</c:f>
              <c:numCache>
                <c:formatCode>0.0%</c:formatCode>
                <c:ptCount val="179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總表!$A$7:$A$185</c:f>
              <c:numCache>
                <c:formatCode>m/d/yy</c:formatCode>
                <c:ptCount val="179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</c:numCache>
            </c:numRef>
          </c:cat>
          <c:val>
            <c:numRef>
              <c:f>總表!$R$7:$R$185</c:f>
              <c:numCache>
                <c:formatCode>0.0%</c:formatCode>
                <c:ptCount val="179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181</xdr:row>
      <xdr:rowOff>185464</xdr:rowOff>
    </xdr:from>
    <xdr:to>
      <xdr:col>20</xdr:col>
      <xdr:colOff>39252</xdr:colOff>
      <xdr:row>202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user/Downloads/&#32929;&#31080;&#32317;&#37096;&#20301;&#24115;20260918.xlsx" TargetMode="External"/><Relationship Id="rId1" Type="http://schemas.openxmlformats.org/officeDocument/2006/relationships/externalLinkPath" Target="&#32929;&#31080;&#32317;&#37096;&#20301;&#24115;202609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39.005000000000003</v>
          </cell>
        </row>
        <row r="5">
          <cell r="B5" t="str">
            <v>緯穎</v>
          </cell>
          <cell r="C5">
            <v>0</v>
          </cell>
          <cell r="D5">
            <v>2145</v>
          </cell>
        </row>
        <row r="6">
          <cell r="B6" t="str">
            <v>中華立鼎</v>
          </cell>
          <cell r="C6">
            <v>0</v>
          </cell>
          <cell r="D6">
            <v>602</v>
          </cell>
        </row>
        <row r="7">
          <cell r="B7" t="str">
            <v>創意</v>
          </cell>
          <cell r="C7">
            <v>0</v>
          </cell>
          <cell r="D7">
            <v>7150</v>
          </cell>
        </row>
        <row r="8">
          <cell r="B8" t="str">
            <v>騰雲</v>
          </cell>
          <cell r="C8">
            <v>0</v>
          </cell>
          <cell r="D8">
            <v>314</v>
          </cell>
        </row>
        <row r="9">
          <cell r="B9" t="str">
            <v>台新新光金</v>
          </cell>
          <cell r="C9">
            <v>0</v>
          </cell>
          <cell r="D9">
            <v>42.88</v>
          </cell>
        </row>
        <row r="10">
          <cell r="B10" t="str">
            <v>聯發科</v>
          </cell>
          <cell r="C10">
            <v>0</v>
          </cell>
          <cell r="D10">
            <v>4730</v>
          </cell>
        </row>
        <row r="11">
          <cell r="B11" t="str">
            <v>仁新</v>
          </cell>
          <cell r="C11">
            <v>38000</v>
          </cell>
          <cell r="D11">
            <v>169</v>
          </cell>
        </row>
        <row r="12">
          <cell r="B12" t="str">
            <v>BLTE</v>
          </cell>
          <cell r="C12">
            <v>0</v>
          </cell>
          <cell r="D12">
            <v>183.16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5" x14ac:dyDescent="0.15"/>
  <sheetData>
    <row r="12" spans="6:6" ht="15.75" thickBot="1" x14ac:dyDescent="0.2"/>
    <row r="13" spans="6:6" ht="15.75" thickBot="1" x14ac:dyDescent="0.2">
      <c r="F13" s="28" t="s">
        <v>0</v>
      </c>
    </row>
    <row r="14" spans="6:6" x14ac:dyDescent="0.15">
      <c r="F14" s="133" t="s">
        <v>1</v>
      </c>
    </row>
    <row r="15" spans="6:6" x14ac:dyDescent="0.15">
      <c r="F15" s="134"/>
    </row>
    <row r="16" spans="6:6" x14ac:dyDescent="0.15">
      <c r="F16" s="134"/>
    </row>
    <row r="17" spans="6:6" x14ac:dyDescent="0.15">
      <c r="F17" s="134"/>
    </row>
    <row r="18" spans="6:6" x14ac:dyDescent="0.15">
      <c r="F18" s="134"/>
    </row>
    <row r="19" spans="6:6" x14ac:dyDescent="0.15">
      <c r="F19" s="134"/>
    </row>
    <row r="20" spans="6:6" x14ac:dyDescent="0.15">
      <c r="F20" s="134"/>
    </row>
    <row r="21" spans="6:6" x14ac:dyDescent="0.15">
      <c r="F21" s="134"/>
    </row>
    <row r="22" spans="6:6" x14ac:dyDescent="0.15">
      <c r="F22" s="134"/>
    </row>
    <row r="23" spans="6:6" x14ac:dyDescent="0.15">
      <c r="F23" s="134"/>
    </row>
    <row r="24" spans="6:6" x14ac:dyDescent="0.15">
      <c r="F24" s="134"/>
    </row>
    <row r="25" spans="6:6" x14ac:dyDescent="0.15">
      <c r="F25" s="134"/>
    </row>
    <row r="26" spans="6:6" x14ac:dyDescent="0.15">
      <c r="F26" s="134"/>
    </row>
    <row r="27" spans="6:6" x14ac:dyDescent="0.15">
      <c r="F27" s="134"/>
    </row>
    <row r="28" spans="6:6" x14ac:dyDescent="0.15">
      <c r="F28" s="134"/>
    </row>
    <row r="29" spans="6:6" x14ac:dyDescent="0.15">
      <c r="F29" s="134"/>
    </row>
    <row r="30" spans="6:6" x14ac:dyDescent="0.15">
      <c r="F30" s="134"/>
    </row>
    <row r="31" spans="6:6" x14ac:dyDescent="0.15">
      <c r="F31" s="134"/>
    </row>
    <row r="32" spans="6:6" ht="15.75" thickBot="1" x14ac:dyDescent="0.2">
      <c r="F32" s="135"/>
    </row>
    <row r="33" spans="6:6" x14ac:dyDescent="0.15">
      <c r="F33" s="136" t="s">
        <v>2</v>
      </c>
    </row>
    <row r="34" spans="6:6" ht="15.75" thickBot="1" x14ac:dyDescent="0.2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12"/>
  <sheetViews>
    <sheetView topLeftCell="A2" zoomScale="70" zoomScaleNormal="70" workbookViewId="0">
      <pane xSplit="1" ySplit="5" topLeftCell="F171" activePane="bottomRight" state="frozen"/>
      <selection activeCell="A2" sqref="A2"/>
      <selection pane="bottomLeft" activeCell="B5" sqref="B5"/>
      <selection pane="topRight" activeCell="B5" sqref="B5"/>
      <selection pane="bottomRight" activeCell="M182" sqref="M182"/>
    </sheetView>
  </sheetViews>
  <sheetFormatPr defaultColWidth="9.046875" defaultRowHeight="18" x14ac:dyDescent="0.2"/>
  <cols>
    <col min="1" max="1" width="18.09375" style="33" bestFit="1" customWidth="1"/>
    <col min="2" max="2" width="21.6875" style="33" customWidth="1"/>
    <col min="3" max="4" width="15.03515625" style="33" customWidth="1"/>
    <col min="5" max="5" width="13.4375" style="33" customWidth="1"/>
    <col min="6" max="8" width="13.4375" style="65" hidden="1" customWidth="1"/>
    <col min="9" max="10" width="14.5" style="33" hidden="1" customWidth="1"/>
    <col min="11" max="11" width="14.5" style="33" customWidth="1"/>
    <col min="12" max="13" width="15.30078125" style="33" bestFit="1" customWidth="1"/>
    <col min="14" max="14" width="16.89453125" style="33" customWidth="1"/>
    <col min="15" max="16" width="16.89453125" style="33" hidden="1" customWidth="1"/>
    <col min="17" max="17" width="13.4375" style="33" bestFit="1" customWidth="1"/>
    <col min="18" max="18" width="15.30078125" style="33" customWidth="1"/>
    <col min="19" max="19" width="9.9765625" style="33" bestFit="1" customWidth="1"/>
    <col min="20" max="20" width="16.62890625" style="33" bestFit="1" customWidth="1"/>
    <col min="21" max="21" width="8.6484375" style="33" customWidth="1"/>
    <col min="22" max="22" width="8.37890625" style="33" bestFit="1" customWidth="1"/>
    <col min="23" max="23" width="23.1484375" style="33" customWidth="1"/>
    <col min="24" max="16384" width="9.046875" style="33"/>
  </cols>
  <sheetData>
    <row r="1" spans="1:21" ht="4.5" hidden="1" customHeight="1" thickBot="1" x14ac:dyDescent="0.2">
      <c r="F1" s="33"/>
      <c r="G1" s="33"/>
      <c r="H1" s="33"/>
    </row>
    <row r="2" spans="1:21" ht="27" customHeight="1" thickBot="1" x14ac:dyDescent="0.3">
      <c r="A2" s="34" t="s">
        <v>3</v>
      </c>
      <c r="B2" s="35">
        <f>按股票分類!D19</f>
        <v>26559535</v>
      </c>
      <c r="C2" s="35"/>
      <c r="D2" s="35"/>
      <c r="E2" s="36">
        <f>按股票分類!D11/按股票分類!D19</f>
        <v>1.3335651396005239</v>
      </c>
      <c r="F2" s="33" t="s">
        <v>4</v>
      </c>
      <c r="G2" s="33"/>
      <c r="H2" s="33"/>
      <c r="I2" s="37"/>
      <c r="J2" s="37"/>
      <c r="K2" s="37"/>
      <c r="S2" s="83"/>
    </row>
    <row r="3" spans="1:21" ht="15.75" x14ac:dyDescent="0.15">
      <c r="A3" s="33" t="s">
        <v>5</v>
      </c>
      <c r="B3" s="38">
        <f>MAX(A:A)</f>
        <v>46286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5.75" thickBot="1" x14ac:dyDescent="0.2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2">
      <c r="S5" s="83"/>
    </row>
    <row r="6" spans="1:21" ht="15" x14ac:dyDescent="0.1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5" x14ac:dyDescent="0.1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5" x14ac:dyDescent="0.1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5" x14ac:dyDescent="0.1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5" x14ac:dyDescent="0.1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5" x14ac:dyDescent="0.1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5" x14ac:dyDescent="0.1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5" x14ac:dyDescent="0.1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5" x14ac:dyDescent="0.1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5" x14ac:dyDescent="0.1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5" x14ac:dyDescent="0.1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5" x14ac:dyDescent="0.1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5" x14ac:dyDescent="0.1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5" x14ac:dyDescent="0.1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5" x14ac:dyDescent="0.1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5" x14ac:dyDescent="0.1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5" x14ac:dyDescent="0.1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5" x14ac:dyDescent="0.1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5" x14ac:dyDescent="0.1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5" x14ac:dyDescent="0.1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5" x14ac:dyDescent="0.1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5" x14ac:dyDescent="0.1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5" x14ac:dyDescent="0.1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5" x14ac:dyDescent="0.1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5" x14ac:dyDescent="0.1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5" x14ac:dyDescent="0.1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5" x14ac:dyDescent="0.1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5" x14ac:dyDescent="0.1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5" x14ac:dyDescent="0.1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5" x14ac:dyDescent="0.1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5" x14ac:dyDescent="0.1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5" x14ac:dyDescent="0.1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5" x14ac:dyDescent="0.1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5" x14ac:dyDescent="0.1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5" x14ac:dyDescent="0.1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5" x14ac:dyDescent="0.1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5" x14ac:dyDescent="0.1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5" x14ac:dyDescent="0.1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5" x14ac:dyDescent="0.1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5" x14ac:dyDescent="0.1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5" x14ac:dyDescent="0.1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5" x14ac:dyDescent="0.1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5" x14ac:dyDescent="0.1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5" x14ac:dyDescent="0.1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5" x14ac:dyDescent="0.1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5" x14ac:dyDescent="0.1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5" x14ac:dyDescent="0.1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5" x14ac:dyDescent="0.1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5" x14ac:dyDescent="0.1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5" x14ac:dyDescent="0.1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5" x14ac:dyDescent="0.1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5" x14ac:dyDescent="0.1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5" x14ac:dyDescent="0.1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5" x14ac:dyDescent="0.1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5" x14ac:dyDescent="0.1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5" x14ac:dyDescent="0.1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5" x14ac:dyDescent="0.1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5" x14ac:dyDescent="0.1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5" x14ac:dyDescent="0.1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5" x14ac:dyDescent="0.1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5" x14ac:dyDescent="0.1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5" x14ac:dyDescent="0.1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5" x14ac:dyDescent="0.1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5" x14ac:dyDescent="0.1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5" x14ac:dyDescent="0.1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5" x14ac:dyDescent="0.1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5" x14ac:dyDescent="0.1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5" x14ac:dyDescent="0.1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5" x14ac:dyDescent="0.1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5" x14ac:dyDescent="0.1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5" x14ac:dyDescent="0.1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5" x14ac:dyDescent="0.1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5" x14ac:dyDescent="0.1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5" x14ac:dyDescent="0.1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5" x14ac:dyDescent="0.1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5" x14ac:dyDescent="0.1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5" x14ac:dyDescent="0.1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5" x14ac:dyDescent="0.1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5" x14ac:dyDescent="0.1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5" x14ac:dyDescent="0.1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5" x14ac:dyDescent="0.1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5" x14ac:dyDescent="0.1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5" x14ac:dyDescent="0.1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5" x14ac:dyDescent="0.1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5" x14ac:dyDescent="0.1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5" x14ac:dyDescent="0.1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5" x14ac:dyDescent="0.1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5" x14ac:dyDescent="0.1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5" x14ac:dyDescent="0.1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5" x14ac:dyDescent="0.1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5" x14ac:dyDescent="0.1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5" x14ac:dyDescent="0.1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5" x14ac:dyDescent="0.1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5" x14ac:dyDescent="0.1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5" x14ac:dyDescent="0.1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5" x14ac:dyDescent="0.1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5" x14ac:dyDescent="0.1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5" x14ac:dyDescent="0.1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5" x14ac:dyDescent="0.1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5" x14ac:dyDescent="0.1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5" x14ac:dyDescent="0.1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5" x14ac:dyDescent="0.1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5" x14ac:dyDescent="0.1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5" x14ac:dyDescent="0.1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5" x14ac:dyDescent="0.1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5" x14ac:dyDescent="0.1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5" x14ac:dyDescent="0.1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5" x14ac:dyDescent="0.1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5" x14ac:dyDescent="0.1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5" x14ac:dyDescent="0.1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5" x14ac:dyDescent="0.1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5" x14ac:dyDescent="0.1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5" x14ac:dyDescent="0.1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5" x14ac:dyDescent="0.1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5" x14ac:dyDescent="0.1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5" x14ac:dyDescent="0.1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5" x14ac:dyDescent="0.1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5" x14ac:dyDescent="0.1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5" x14ac:dyDescent="0.1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5" x14ac:dyDescent="0.1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5" x14ac:dyDescent="0.1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5" x14ac:dyDescent="0.1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5" x14ac:dyDescent="0.1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5" x14ac:dyDescent="0.1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5" x14ac:dyDescent="0.1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5" x14ac:dyDescent="0.1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5" x14ac:dyDescent="0.1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5" x14ac:dyDescent="0.1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5" x14ac:dyDescent="0.1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5" x14ac:dyDescent="0.1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5" x14ac:dyDescent="0.1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5" x14ac:dyDescent="0.1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5" x14ac:dyDescent="0.1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5" x14ac:dyDescent="0.1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5" x14ac:dyDescent="0.1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5" x14ac:dyDescent="0.1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5" x14ac:dyDescent="0.1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5" x14ac:dyDescent="0.1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5" x14ac:dyDescent="0.1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5" x14ac:dyDescent="0.1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5" x14ac:dyDescent="0.1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5" x14ac:dyDescent="0.1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5" x14ac:dyDescent="0.1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5" x14ac:dyDescent="0.1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5" x14ac:dyDescent="0.1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5" x14ac:dyDescent="0.1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5" x14ac:dyDescent="0.1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5" x14ac:dyDescent="0.1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5" x14ac:dyDescent="0.1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5" x14ac:dyDescent="0.1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5" x14ac:dyDescent="0.1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5" x14ac:dyDescent="0.1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5" x14ac:dyDescent="0.1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5" x14ac:dyDescent="0.1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5" x14ac:dyDescent="0.1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5" x14ac:dyDescent="0.1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5" x14ac:dyDescent="0.1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5" x14ac:dyDescent="0.1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5" x14ac:dyDescent="0.1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5" x14ac:dyDescent="0.1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5" x14ac:dyDescent="0.1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5" x14ac:dyDescent="0.1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5" x14ac:dyDescent="0.1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5" x14ac:dyDescent="0.1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5" x14ac:dyDescent="0.1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5" x14ac:dyDescent="0.1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5" x14ac:dyDescent="0.1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8" si="319">C172/C$7-1</f>
        <v>1.1147346969436294</v>
      </c>
      <c r="O172" s="61" t="e">
        <f t="shared" ref="O172:O178" si="320">G172/G$7-1</f>
        <v>#REF!</v>
      </c>
      <c r="P172" s="61" t="e">
        <f t="shared" ref="P172:P178" si="321">J172/J$7-1</f>
        <v>#REF!</v>
      </c>
      <c r="Q172" s="61">
        <f t="shared" ref="Q172:Q178" si="322">L172/L$7-1</f>
        <v>0.65049666206313916</v>
      </c>
      <c r="R172" s="61">
        <f t="shared" ref="R172:R178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5" x14ac:dyDescent="0.1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5" x14ac:dyDescent="0.1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5" x14ac:dyDescent="0.1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5" x14ac:dyDescent="0.1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si="319"/>
        <v>1.0441401185909629</v>
      </c>
      <c r="O176" s="61" t="e">
        <f t="shared" si="320"/>
        <v>#REF!</v>
      </c>
      <c r="P176" s="61" t="e">
        <f t="shared" si="321"/>
        <v>#REF!</v>
      </c>
      <c r="Q176" s="61">
        <f t="shared" si="322"/>
        <v>0.60699954693033953</v>
      </c>
      <c r="R176" s="61">
        <f t="shared" si="323"/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5" x14ac:dyDescent="0.1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19"/>
        <v>1.0243081588030085</v>
      </c>
      <c r="O177" s="61" t="e">
        <f t="shared" si="320"/>
        <v>#REF!</v>
      </c>
      <c r="P177" s="61" t="e">
        <f t="shared" si="321"/>
        <v>#REF!</v>
      </c>
      <c r="Q177" s="61">
        <f t="shared" si="322"/>
        <v>0.59470051124344114</v>
      </c>
      <c r="R177" s="61">
        <f t="shared" si="323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5" x14ac:dyDescent="0.1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19"/>
        <v>1.0128299881182872</v>
      </c>
      <c r="O178" s="61" t="e">
        <f t="shared" si="320"/>
        <v>#REF!</v>
      </c>
      <c r="P178" s="61" t="e">
        <f t="shared" si="321"/>
        <v>#REF!</v>
      </c>
      <c r="Q178" s="61">
        <f t="shared" si="322"/>
        <v>0.60506606456652356</v>
      </c>
      <c r="R178" s="61">
        <f t="shared" si="323"/>
        <v>0.46769087198589254</v>
      </c>
      <c r="S178" s="83">
        <v>-0.15404597063641368</v>
      </c>
      <c r="T178" s="62">
        <v>1.250259193774534</v>
      </c>
      <c r="U178" s="62">
        <v>0</v>
      </c>
    </row>
    <row r="179" spans="1:21" ht="15" x14ac:dyDescent="0.1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1" si="324">C179/C$7-1</f>
        <v>1.0225578072383943</v>
      </c>
      <c r="O179" s="61" t="e">
        <f t="shared" ref="O179:O181" si="325">G179/G$7-1</f>
        <v>#REF!</v>
      </c>
      <c r="P179" s="61" t="e">
        <f t="shared" ref="P179:P181" si="326">J179/J$7-1</f>
        <v>#REF!</v>
      </c>
      <c r="Q179" s="61">
        <f t="shared" ref="Q179:Q181" si="327">L179/L$7-1</f>
        <v>0.6204746987863623</v>
      </c>
      <c r="R179" s="61">
        <f t="shared" ref="R179:R181" si="328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5" x14ac:dyDescent="0.1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4"/>
        <v>1.0380562131826432</v>
      </c>
      <c r="O180" s="61" t="e">
        <f t="shared" si="325"/>
        <v>#REF!</v>
      </c>
      <c r="P180" s="61" t="e">
        <f t="shared" si="326"/>
        <v>#REF!</v>
      </c>
      <c r="Q180" s="61">
        <f t="shared" si="327"/>
        <v>0.65524994848722384</v>
      </c>
      <c r="R180" s="61">
        <f t="shared" si="328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7.100000000000001" customHeight="1" x14ac:dyDescent="0.15">
      <c r="A181" s="55">
        <v>46286</v>
      </c>
      <c r="B181" s="56">
        <f>按股票分類!D19</f>
        <v>26559535</v>
      </c>
      <c r="C181" s="79">
        <f>B181/D181</f>
        <v>21.45294122873549</v>
      </c>
      <c r="D181" s="58">
        <v>1238037</v>
      </c>
      <c r="E181" s="58">
        <f>B181-B180</f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f>按股票分類!D11</f>
        <v>35418870</v>
      </c>
      <c r="L181" s="60">
        <v>110335.03999999999</v>
      </c>
      <c r="M181" s="60">
        <v>767.27</v>
      </c>
      <c r="N181" s="61">
        <f t="shared" si="324"/>
        <v>1.1452941228735489</v>
      </c>
      <c r="O181" s="61" t="e">
        <f t="shared" si="325"/>
        <v>#REF!</v>
      </c>
      <c r="P181" s="61" t="e">
        <f t="shared" si="326"/>
        <v>#REF!</v>
      </c>
      <c r="Q181" s="61">
        <f t="shared" si="327"/>
        <v>0.67412790159557612</v>
      </c>
      <c r="R181" s="61">
        <f t="shared" si="328"/>
        <v>0.52021953200848015</v>
      </c>
      <c r="S181" s="83">
        <f>C181/MAX($C$7:C181)-1</f>
        <v>-9.8373822862455995E-2</v>
      </c>
      <c r="T181" s="62">
        <f>K181/B181</f>
        <v>1.3335651396005239</v>
      </c>
      <c r="U181" s="62">
        <v>0</v>
      </c>
    </row>
    <row r="182" spans="1:21" ht="15" x14ac:dyDescent="0.15">
      <c r="A182" s="55"/>
      <c r="B182" s="56"/>
      <c r="C182" s="61"/>
      <c r="D182" s="56"/>
      <c r="F182" s="58"/>
      <c r="G182" s="58"/>
      <c r="H182" s="58"/>
      <c r="I182" s="59"/>
      <c r="J182" s="59"/>
      <c r="K182" s="59"/>
      <c r="L182" s="60"/>
      <c r="M182" s="84"/>
      <c r="N182" s="61"/>
      <c r="O182" s="61"/>
      <c r="P182" s="61"/>
      <c r="Q182" s="61"/>
      <c r="R182" s="61"/>
      <c r="S182" s="61"/>
      <c r="T182" s="62"/>
      <c r="U182" s="62"/>
    </row>
    <row r="183" spans="1:21" ht="15" x14ac:dyDescent="0.1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61"/>
      <c r="R183" s="61"/>
      <c r="S183" s="61"/>
      <c r="T183" s="62"/>
      <c r="U183" s="62"/>
    </row>
    <row r="184" spans="1:21" ht="15" x14ac:dyDescent="0.1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61"/>
      <c r="R184" s="61"/>
      <c r="S184" s="61"/>
      <c r="T184" s="62"/>
      <c r="U184" s="62"/>
    </row>
    <row r="185" spans="1:21" ht="15" x14ac:dyDescent="0.1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61"/>
      <c r="R185" s="61"/>
      <c r="S185" s="61"/>
      <c r="T185" s="62"/>
      <c r="U185" s="62"/>
    </row>
    <row r="186" spans="1:21" ht="15" x14ac:dyDescent="0.1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61"/>
      <c r="R186" s="61"/>
      <c r="S186" s="61"/>
      <c r="T186" s="62"/>
      <c r="U186" s="62"/>
    </row>
    <row r="187" spans="1:21" ht="15" x14ac:dyDescent="0.1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61"/>
      <c r="R187" s="61"/>
      <c r="S187" s="61"/>
      <c r="T187" s="62"/>
      <c r="U187" s="62"/>
    </row>
    <row r="188" spans="1:21" ht="15" x14ac:dyDescent="0.1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58"/>
      <c r="R188" s="61"/>
      <c r="S188" s="61"/>
      <c r="T188" s="62"/>
      <c r="U188" s="62"/>
    </row>
    <row r="189" spans="1:21" ht="15" x14ac:dyDescent="0.1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58"/>
      <c r="R189" s="82"/>
      <c r="S189" s="61"/>
      <c r="T189" s="62"/>
      <c r="U189" s="62"/>
    </row>
    <row r="190" spans="1:21" ht="15" x14ac:dyDescent="0.1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58"/>
      <c r="R190" s="61"/>
      <c r="S190" s="61"/>
      <c r="T190" s="62"/>
      <c r="U190" s="62"/>
    </row>
    <row r="191" spans="1:21" ht="15" x14ac:dyDescent="0.1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58"/>
      <c r="R191" s="61" t="s">
        <v>21</v>
      </c>
      <c r="S191" s="61"/>
      <c r="T191" s="62"/>
      <c r="U191" s="62"/>
    </row>
    <row r="192" spans="1:21" ht="15" x14ac:dyDescent="0.1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3" ht="15" x14ac:dyDescent="0.1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58"/>
      <c r="R193" s="61"/>
      <c r="S193" s="61"/>
      <c r="T193" s="62"/>
      <c r="U193" s="62"/>
    </row>
    <row r="194" spans="1:23" ht="15" x14ac:dyDescent="0.1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58"/>
      <c r="R194" s="61"/>
      <c r="S194" s="61"/>
      <c r="T194" s="62"/>
      <c r="U194" s="62"/>
    </row>
    <row r="195" spans="1:23" ht="15" x14ac:dyDescent="0.1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3" ht="15" x14ac:dyDescent="0.1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  <c r="W196" s="103"/>
    </row>
    <row r="197" spans="1:23" ht="15" x14ac:dyDescent="0.1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3" ht="15" x14ac:dyDescent="0.1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3" ht="15" x14ac:dyDescent="0.1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3" ht="15" x14ac:dyDescent="0.1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3" ht="15" x14ac:dyDescent="0.1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3" ht="15" x14ac:dyDescent="0.1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3" ht="15" x14ac:dyDescent="0.1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5" x14ac:dyDescent="0.1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5" x14ac:dyDescent="0.1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5" x14ac:dyDescent="0.1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5" x14ac:dyDescent="0.1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5" x14ac:dyDescent="0.1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5" x14ac:dyDescent="0.1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5" x14ac:dyDescent="0.1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59"/>
      <c r="O210" s="61"/>
      <c r="P210" s="61"/>
      <c r="Q210" s="61"/>
      <c r="R210" s="61"/>
      <c r="S210" s="61"/>
      <c r="T210" s="62"/>
      <c r="U210" s="62"/>
    </row>
    <row r="211" spans="1:21" ht="15" x14ac:dyDescent="0.1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5" x14ac:dyDescent="0.1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5" x14ac:dyDescent="0.1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5" x14ac:dyDescent="0.1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5" x14ac:dyDescent="0.1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5" x14ac:dyDescent="0.1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5" x14ac:dyDescent="0.1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5" x14ac:dyDescent="0.1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5" x14ac:dyDescent="0.1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5" x14ac:dyDescent="0.1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5" x14ac:dyDescent="0.1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5" x14ac:dyDescent="0.1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5" x14ac:dyDescent="0.1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5" x14ac:dyDescent="0.1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5" x14ac:dyDescent="0.1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5" x14ac:dyDescent="0.1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5" x14ac:dyDescent="0.1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5" x14ac:dyDescent="0.1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5" x14ac:dyDescent="0.1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5" x14ac:dyDescent="0.1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5" x14ac:dyDescent="0.1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5" x14ac:dyDescent="0.1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5" x14ac:dyDescent="0.1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5" x14ac:dyDescent="0.1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5" x14ac:dyDescent="0.1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5" x14ac:dyDescent="0.1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5" x14ac:dyDescent="0.1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5" x14ac:dyDescent="0.1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5" x14ac:dyDescent="0.1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5" x14ac:dyDescent="0.1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5" x14ac:dyDescent="0.1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5" x14ac:dyDescent="0.1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5" x14ac:dyDescent="0.1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5" x14ac:dyDescent="0.1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5" x14ac:dyDescent="0.1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5" x14ac:dyDescent="0.1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5" x14ac:dyDescent="0.1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5" x14ac:dyDescent="0.1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5" x14ac:dyDescent="0.1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5" x14ac:dyDescent="0.1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5" x14ac:dyDescent="0.1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5" x14ac:dyDescent="0.1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5" x14ac:dyDescent="0.1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5" x14ac:dyDescent="0.1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5" x14ac:dyDescent="0.1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5" x14ac:dyDescent="0.1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5" x14ac:dyDescent="0.1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5" x14ac:dyDescent="0.1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5" x14ac:dyDescent="0.1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5" x14ac:dyDescent="0.1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5" x14ac:dyDescent="0.1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5" x14ac:dyDescent="0.1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5" x14ac:dyDescent="0.1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5" x14ac:dyDescent="0.1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5" x14ac:dyDescent="0.1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5" x14ac:dyDescent="0.1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5" x14ac:dyDescent="0.1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5" x14ac:dyDescent="0.1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5" x14ac:dyDescent="0.1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5" x14ac:dyDescent="0.1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5" x14ac:dyDescent="0.1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5" x14ac:dyDescent="0.1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5" x14ac:dyDescent="0.1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5" x14ac:dyDescent="0.1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5" x14ac:dyDescent="0.1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5" x14ac:dyDescent="0.1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5" x14ac:dyDescent="0.1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5" x14ac:dyDescent="0.1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5" x14ac:dyDescent="0.1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5" x14ac:dyDescent="0.1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5" x14ac:dyDescent="0.1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5" x14ac:dyDescent="0.1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5" x14ac:dyDescent="0.1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5" x14ac:dyDescent="0.1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5" x14ac:dyDescent="0.1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5" x14ac:dyDescent="0.1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5" x14ac:dyDescent="0.1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5" x14ac:dyDescent="0.1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5" x14ac:dyDescent="0.1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5" x14ac:dyDescent="0.1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5" x14ac:dyDescent="0.1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5" x14ac:dyDescent="0.1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5" x14ac:dyDescent="0.1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5" x14ac:dyDescent="0.1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5" x14ac:dyDescent="0.1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5" x14ac:dyDescent="0.1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5" x14ac:dyDescent="0.1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5" x14ac:dyDescent="0.1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5" x14ac:dyDescent="0.1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5" x14ac:dyDescent="0.1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5" x14ac:dyDescent="0.1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5" x14ac:dyDescent="0.1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5" x14ac:dyDescent="0.1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5" x14ac:dyDescent="0.1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5" x14ac:dyDescent="0.1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5" x14ac:dyDescent="0.1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5" x14ac:dyDescent="0.1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5" x14ac:dyDescent="0.1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5" x14ac:dyDescent="0.1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5" x14ac:dyDescent="0.1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5" x14ac:dyDescent="0.1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5" x14ac:dyDescent="0.1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5" x14ac:dyDescent="0.1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5" x14ac:dyDescent="0.1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5" x14ac:dyDescent="0.1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5" x14ac:dyDescent="0.1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5" x14ac:dyDescent="0.1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5" x14ac:dyDescent="0.1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5" x14ac:dyDescent="0.1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5" x14ac:dyDescent="0.1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5" x14ac:dyDescent="0.1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5" x14ac:dyDescent="0.1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5" x14ac:dyDescent="0.1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5" x14ac:dyDescent="0.1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5" x14ac:dyDescent="0.1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5" x14ac:dyDescent="0.1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5" x14ac:dyDescent="0.1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5" x14ac:dyDescent="0.1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5" x14ac:dyDescent="0.1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5" x14ac:dyDescent="0.1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5" x14ac:dyDescent="0.1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5" x14ac:dyDescent="0.1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5" x14ac:dyDescent="0.1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5" x14ac:dyDescent="0.1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5" x14ac:dyDescent="0.1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5" x14ac:dyDescent="0.1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5" x14ac:dyDescent="0.1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5" x14ac:dyDescent="0.1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5" x14ac:dyDescent="0.1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5" x14ac:dyDescent="0.1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5" x14ac:dyDescent="0.1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5" x14ac:dyDescent="0.1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5" x14ac:dyDescent="0.1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5" x14ac:dyDescent="0.1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5" x14ac:dyDescent="0.1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5" x14ac:dyDescent="0.1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5" x14ac:dyDescent="0.1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5" x14ac:dyDescent="0.1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5" x14ac:dyDescent="0.1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5" x14ac:dyDescent="0.1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5" x14ac:dyDescent="0.1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5" x14ac:dyDescent="0.1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5" x14ac:dyDescent="0.1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5" x14ac:dyDescent="0.1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5" x14ac:dyDescent="0.1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5" x14ac:dyDescent="0.1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5" x14ac:dyDescent="0.1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5" x14ac:dyDescent="0.1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5" x14ac:dyDescent="0.1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5" x14ac:dyDescent="0.1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5" x14ac:dyDescent="0.1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5" x14ac:dyDescent="0.1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5" x14ac:dyDescent="0.1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5" x14ac:dyDescent="0.1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5" x14ac:dyDescent="0.1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5" x14ac:dyDescent="0.1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5" x14ac:dyDescent="0.1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5" x14ac:dyDescent="0.1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5" x14ac:dyDescent="0.1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5" x14ac:dyDescent="0.1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5" x14ac:dyDescent="0.1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5" x14ac:dyDescent="0.1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5" x14ac:dyDescent="0.1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5" x14ac:dyDescent="0.1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5" x14ac:dyDescent="0.1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5" x14ac:dyDescent="0.1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5" x14ac:dyDescent="0.1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5" x14ac:dyDescent="0.1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5" x14ac:dyDescent="0.1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5" x14ac:dyDescent="0.1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5" x14ac:dyDescent="0.1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5" x14ac:dyDescent="0.1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5" x14ac:dyDescent="0.1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5" x14ac:dyDescent="0.1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5" x14ac:dyDescent="0.1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5" x14ac:dyDescent="0.1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5" x14ac:dyDescent="0.1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5" x14ac:dyDescent="0.1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5" x14ac:dyDescent="0.1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5" x14ac:dyDescent="0.1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5" x14ac:dyDescent="0.1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5" x14ac:dyDescent="0.1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5" x14ac:dyDescent="0.1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5" x14ac:dyDescent="0.1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5" x14ac:dyDescent="0.1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5" x14ac:dyDescent="0.1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5" x14ac:dyDescent="0.1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5" x14ac:dyDescent="0.1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5" x14ac:dyDescent="0.1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5" x14ac:dyDescent="0.1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5" x14ac:dyDescent="0.1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5" x14ac:dyDescent="0.1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5" x14ac:dyDescent="0.1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5" x14ac:dyDescent="0.1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5" x14ac:dyDescent="0.1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5" x14ac:dyDescent="0.1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5" x14ac:dyDescent="0.1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5" x14ac:dyDescent="0.1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5" x14ac:dyDescent="0.1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5" x14ac:dyDescent="0.1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5" x14ac:dyDescent="0.1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5" x14ac:dyDescent="0.1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</sheetData>
  <sheetProtection selectLockedCells="1"/>
  <phoneticPr fontId="1" type="noConversion"/>
  <conditionalFormatting sqref="S2:S5 S7:S181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12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81"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</conditionalFormatting>
  <conditionalFormatting sqref="T8:T181"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</conditionalFormatting>
  <conditionalFormatting sqref="T182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82:T412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81"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82:U412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T7:T181</xm:sqref>
        </x14:conditionalFormatting>
        <x14:conditionalFormatting xmlns:xm="http://schemas.microsoft.com/office/excel/2006/main"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T8:T181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T182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T182:T412</xm:sqref>
        </x14:conditionalFormatting>
        <x14:conditionalFormatting xmlns:xm="http://schemas.microsoft.com/office/excel/2006/main"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U8:U181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U182:U412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abSelected="1" topLeftCell="B1" zoomScale="85" zoomScaleNormal="85" workbookViewId="0">
      <selection activeCell="G9" sqref="A9:XFD10"/>
    </sheetView>
  </sheetViews>
  <sheetFormatPr defaultColWidth="8.9140625" defaultRowHeight="15" x14ac:dyDescent="0.15"/>
  <cols>
    <col min="3" max="3" width="23.68359375" customWidth="1"/>
    <col min="4" max="4" width="20.48828125" customWidth="1"/>
    <col min="5" max="5" width="21.953125" customWidth="1"/>
    <col min="6" max="6" width="17.02734375" customWidth="1"/>
    <col min="7" max="7" width="16.49609375" customWidth="1"/>
    <col min="8" max="9" width="17.02734375" customWidth="1"/>
    <col min="10" max="10" width="14.8984375" customWidth="1"/>
    <col min="11" max="11" width="19.0234375" customWidth="1"/>
    <col min="12" max="14" width="19.0234375" hidden="1" customWidth="1"/>
    <col min="15" max="15" width="19.29296875" customWidth="1"/>
  </cols>
  <sheetData>
    <row r="1" spans="3:15" ht="15.75" thickBot="1" x14ac:dyDescent="0.2"/>
    <row r="2" spans="3:15" ht="33.75" customHeight="1" x14ac:dyDescent="0.1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15">
      <c r="C3" s="124" t="s">
        <v>102</v>
      </c>
      <c r="D3" s="125">
        <f>帳戶!F7</f>
        <v>11394080</v>
      </c>
      <c r="E3" s="69">
        <f>D3/$D$19</f>
        <v>0.42900148666006388</v>
      </c>
      <c r="F3" s="125">
        <f>帳戶!E7</f>
        <v>5664000</v>
      </c>
      <c r="G3" s="125">
        <v>10746560</v>
      </c>
      <c r="H3" s="94">
        <f t="shared" ref="H3" si="0">D3-G3</f>
        <v>647520</v>
      </c>
      <c r="I3" s="92">
        <v>5664000</v>
      </c>
      <c r="J3" s="21">
        <f t="shared" ref="J3" si="1">IFERROR(H3/G3,"n/a")</f>
        <v>6.0253699788583512E-2</v>
      </c>
      <c r="K3" s="29" t="s">
        <v>100</v>
      </c>
      <c r="L3" s="130"/>
      <c r="M3" s="130"/>
      <c r="N3" s="131"/>
      <c r="O3" s="98">
        <f>D3*0.1</f>
        <v>1139408</v>
      </c>
    </row>
    <row r="4" spans="3:15" x14ac:dyDescent="0.15">
      <c r="C4" s="124" t="s">
        <v>86</v>
      </c>
      <c r="D4" s="125">
        <f>帳戶!F4</f>
        <v>9462310</v>
      </c>
      <c r="E4" s="69">
        <f>D4/$D$19</f>
        <v>0.35626790905789579</v>
      </c>
      <c r="F4" s="125">
        <f>帳戶!E4</f>
        <v>0</v>
      </c>
      <c r="G4" s="125">
        <v>9462310</v>
      </c>
      <c r="H4" s="94">
        <f>D4-G4</f>
        <v>0</v>
      </c>
      <c r="I4" s="92">
        <v>0</v>
      </c>
      <c r="J4" s="21">
        <f>IFERROR(H4/G4,"n/a")</f>
        <v>0</v>
      </c>
      <c r="K4" s="29" t="s">
        <v>84</v>
      </c>
      <c r="L4" s="130"/>
      <c r="M4" s="130"/>
      <c r="N4" s="131"/>
      <c r="O4" s="98">
        <f t="shared" ref="O4" si="2">D4*0.1</f>
        <v>946231</v>
      </c>
    </row>
    <row r="5" spans="3:15" x14ac:dyDescent="0.15">
      <c r="C5" s="124" t="s">
        <v>99</v>
      </c>
      <c r="D5" s="125">
        <f>帳戶!F8</f>
        <v>8115300</v>
      </c>
      <c r="E5" s="69">
        <f>D5/$D$19</f>
        <v>0.30555128318323344</v>
      </c>
      <c r="F5" s="125">
        <f>帳戶!E8</f>
        <v>3275000</v>
      </c>
      <c r="G5" s="125">
        <v>7614750</v>
      </c>
      <c r="H5" s="94">
        <f t="shared" ref="H5" si="3">D5-G5</f>
        <v>500550</v>
      </c>
      <c r="I5" s="92">
        <v>3275000</v>
      </c>
      <c r="J5" s="21">
        <f t="shared" ref="J5" si="4">IFERROR(H5/G5,"n/a")</f>
        <v>6.5734265734265732E-2</v>
      </c>
      <c r="K5" s="29" t="s">
        <v>100</v>
      </c>
      <c r="L5" s="130"/>
      <c r="M5" s="130"/>
      <c r="N5" s="131"/>
      <c r="O5" s="98">
        <f>D5*0.1</f>
        <v>811530</v>
      </c>
    </row>
    <row r="6" spans="3:15" x14ac:dyDescent="0.15">
      <c r="C6" s="124" t="s">
        <v>91</v>
      </c>
      <c r="D6" s="125">
        <f>帳戶!F10</f>
        <v>2685130</v>
      </c>
      <c r="E6" s="69">
        <f>D6/$D$19</f>
        <v>0.10109853203378749</v>
      </c>
      <c r="F6" s="125">
        <f>帳戶!E10</f>
        <v>0</v>
      </c>
      <c r="G6" s="125">
        <v>2672670</v>
      </c>
      <c r="H6" s="94">
        <f t="shared" ref="H6" si="5">D6-G6</f>
        <v>12460</v>
      </c>
      <c r="I6" s="92">
        <v>0</v>
      </c>
      <c r="J6" s="21">
        <f t="shared" ref="J6" si="6">IFERROR(H6/G6,"n/a")</f>
        <v>4.662004662004662E-3</v>
      </c>
      <c r="K6" s="29" t="s">
        <v>89</v>
      </c>
      <c r="L6" s="130"/>
      <c r="M6" s="130"/>
      <c r="N6" s="131"/>
      <c r="O6" s="98">
        <f>D6*0.1</f>
        <v>268513</v>
      </c>
    </row>
    <row r="7" spans="3:15" x14ac:dyDescent="0.15">
      <c r="C7" s="124" t="s">
        <v>104</v>
      </c>
      <c r="D7" s="125">
        <f>帳戶!F5</f>
        <v>1890050</v>
      </c>
      <c r="E7" s="69">
        <f>D7/$D$19</f>
        <v>7.1162766968623503E-2</v>
      </c>
      <c r="F7" s="125">
        <f>帳戶!E5</f>
        <v>0</v>
      </c>
      <c r="G7" s="125">
        <v>0</v>
      </c>
      <c r="H7" s="94">
        <f t="shared" ref="H7" si="7">D7-G7</f>
        <v>1890050</v>
      </c>
      <c r="I7" s="92">
        <v>0</v>
      </c>
      <c r="J7" s="21" t="str">
        <f t="shared" ref="J7" si="8">IFERROR(H7/G7,"n/a")</f>
        <v>n/a</v>
      </c>
      <c r="K7" s="29" t="s">
        <v>84</v>
      </c>
      <c r="L7" s="130"/>
      <c r="M7" s="130"/>
      <c r="N7" s="131"/>
      <c r="O7" s="98">
        <f t="shared" ref="O7" si="9">D7*0.1</f>
        <v>189005</v>
      </c>
    </row>
    <row r="8" spans="3:15" x14ac:dyDescent="0.15">
      <c r="C8" s="124" t="s">
        <v>97</v>
      </c>
      <c r="D8" s="125">
        <f>帳戶!F9</f>
        <v>1872000</v>
      </c>
      <c r="E8" s="69">
        <f>D8/$D$19</f>
        <v>7.0483161696919774E-2</v>
      </c>
      <c r="F8" s="125">
        <f>帳戶!E9</f>
        <v>1149000</v>
      </c>
      <c r="G8" s="125">
        <v>1884000</v>
      </c>
      <c r="H8" s="94">
        <f>D8-G8</f>
        <v>-12000</v>
      </c>
      <c r="I8" s="92">
        <v>1149000</v>
      </c>
      <c r="J8" s="21">
        <f>IFERROR(H8/G8,"n/a")</f>
        <v>-6.369426751592357E-3</v>
      </c>
      <c r="K8" s="29" t="s">
        <v>92</v>
      </c>
      <c r="L8" s="130"/>
      <c r="M8" s="130"/>
      <c r="N8" s="131"/>
      <c r="O8" s="98">
        <f>D8*0.1</f>
        <v>187200</v>
      </c>
    </row>
    <row r="9" spans="3:15" hidden="1" x14ac:dyDescent="0.15">
      <c r="C9" s="124" t="s">
        <v>88</v>
      </c>
      <c r="D9" s="125">
        <f>帳戶!F11</f>
        <v>0</v>
      </c>
      <c r="E9" s="69">
        <f>D9/$D$19</f>
        <v>0</v>
      </c>
      <c r="F9" s="125">
        <f>帳戶!E11</f>
        <v>0</v>
      </c>
      <c r="G9" s="125">
        <v>0</v>
      </c>
      <c r="H9" s="94">
        <f>D9-G9</f>
        <v>0</v>
      </c>
      <c r="I9" s="92">
        <v>0</v>
      </c>
      <c r="J9" s="21" t="str">
        <f>IFERROR(H9/G9,"n/a")</f>
        <v>n/a</v>
      </c>
      <c r="K9" s="29" t="s">
        <v>89</v>
      </c>
      <c r="L9" s="130"/>
      <c r="M9" s="130"/>
      <c r="N9" s="131"/>
      <c r="O9" s="98">
        <f>D9*0.1</f>
        <v>0</v>
      </c>
    </row>
    <row r="10" spans="3:15" hidden="1" x14ac:dyDescent="0.15">
      <c r="C10" s="124" t="s">
        <v>95</v>
      </c>
      <c r="D10" s="125">
        <f>帳戶!F6</f>
        <v>0</v>
      </c>
      <c r="E10" s="69">
        <f>D10/$D$19</f>
        <v>0</v>
      </c>
      <c r="F10" s="125">
        <v>0</v>
      </c>
      <c r="G10" s="125">
        <v>0</v>
      </c>
      <c r="H10" s="94">
        <f>D10-G10</f>
        <v>0</v>
      </c>
      <c r="I10" s="92">
        <v>0</v>
      </c>
      <c r="J10" s="21" t="str">
        <f>IFERROR(H10/G10,"n/a")</f>
        <v>n/a</v>
      </c>
      <c r="K10" s="29" t="s">
        <v>93</v>
      </c>
      <c r="L10" s="130"/>
      <c r="M10" s="130"/>
      <c r="N10" s="131"/>
      <c r="O10" s="98">
        <f t="shared" ref="O10" si="10">D10*0.1</f>
        <v>0</v>
      </c>
    </row>
    <row r="11" spans="3:15" ht="15.75" thickBot="1" x14ac:dyDescent="0.2">
      <c r="C11" s="18" t="s">
        <v>30</v>
      </c>
      <c r="D11" s="90">
        <f>SUM(D3:D10)</f>
        <v>35418870</v>
      </c>
      <c r="E11" s="118">
        <f>D11/$D$19</f>
        <v>1.3335651396005239</v>
      </c>
      <c r="F11" s="90">
        <f>SUM(F3:F10)</f>
        <v>10088000</v>
      </c>
      <c r="G11" s="90">
        <f>SUM(G3:G10)</f>
        <v>32380290</v>
      </c>
      <c r="H11" s="90">
        <f>SUM(H3:H10)</f>
        <v>3038580</v>
      </c>
      <c r="I11" s="90">
        <f>SUM(I3:I10)</f>
        <v>10088000</v>
      </c>
      <c r="J11" s="86">
        <f t="shared" ref="J11:J13" si="11">IFERROR(H11/G11,"n/a")</f>
        <v>9.3840419588583052E-2</v>
      </c>
      <c r="K11" s="86"/>
      <c r="L11" s="86"/>
      <c r="M11" s="86"/>
      <c r="N11" s="86"/>
      <c r="O11" s="126">
        <f>SUM(O3:O10)</f>
        <v>3541887</v>
      </c>
    </row>
    <row r="12" spans="3:15" ht="16.5" customHeight="1" x14ac:dyDescent="0.15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1"/>
        <v>n/a</v>
      </c>
      <c r="K12" s="107"/>
      <c r="L12" s="107"/>
      <c r="M12" s="107"/>
      <c r="N12" s="107"/>
      <c r="O12" s="100">
        <f>D12*0.1</f>
        <v>0</v>
      </c>
    </row>
    <row r="13" spans="3:15" ht="15.75" thickBot="1" x14ac:dyDescent="0.2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1"/>
        <v>n/a</v>
      </c>
      <c r="K13" s="86"/>
      <c r="L13" s="86"/>
      <c r="M13" s="86"/>
      <c r="N13" s="86"/>
      <c r="O13" s="99">
        <f>SUM(0)</f>
        <v>0</v>
      </c>
    </row>
    <row r="14" spans="3:15" x14ac:dyDescent="0.1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15">
      <c r="C15" s="71" t="s">
        <v>32</v>
      </c>
      <c r="D15" s="91">
        <f>帳戶!C20</f>
        <v>1228665</v>
      </c>
      <c r="E15" s="69">
        <f>D15/$D$19</f>
        <v>4.6260787321765987E-2</v>
      </c>
      <c r="F15" s="69"/>
      <c r="G15" s="91">
        <v>2939600</v>
      </c>
      <c r="H15" s="94">
        <f>D15-G15</f>
        <v>-1710935</v>
      </c>
      <c r="I15" s="22"/>
      <c r="J15" s="70">
        <f>H15/G15</f>
        <v>-0.58202986800925294</v>
      </c>
      <c r="K15" s="29" t="s">
        <v>32</v>
      </c>
      <c r="L15" s="29"/>
      <c r="M15" s="29"/>
      <c r="N15" s="29"/>
      <c r="O15" s="98"/>
    </row>
    <row r="16" spans="3:15" x14ac:dyDescent="0.1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1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5.75" thickBot="1" x14ac:dyDescent="0.2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5.75" thickBot="1" x14ac:dyDescent="0.2">
      <c r="C19" s="18" t="s">
        <v>30</v>
      </c>
      <c r="D19" s="90">
        <f>D11+D15-F11+D17+D16</f>
        <v>26559535</v>
      </c>
      <c r="E19" s="118">
        <f>D19/$D$19</f>
        <v>1</v>
      </c>
      <c r="F19" s="20"/>
      <c r="G19" s="90">
        <f>G11+G15-I11+G17+G16</f>
        <v>25231890</v>
      </c>
      <c r="H19" s="95">
        <f t="shared" ref="H19" si="12">D19-G19</f>
        <v>1327645</v>
      </c>
      <c r="I19" s="19"/>
      <c r="J19" s="20">
        <f>H19/G19</f>
        <v>5.2617738901049427E-2</v>
      </c>
      <c r="K19" s="20"/>
      <c r="L19" s="20"/>
      <c r="M19" s="20"/>
      <c r="N19" s="20"/>
      <c r="O19" s="99"/>
    </row>
    <row r="20" spans="2:15" x14ac:dyDescent="0.15">
      <c r="C20" s="119" t="s">
        <v>35</v>
      </c>
      <c r="D20" s="120">
        <v>25231890</v>
      </c>
      <c r="E20" s="23"/>
      <c r="G20" s="23"/>
      <c r="I20" s="26"/>
      <c r="O20" s="97"/>
    </row>
    <row r="21" spans="2:15" ht="18.75" customHeight="1" x14ac:dyDescent="0.15">
      <c r="C21" s="11" t="s">
        <v>36</v>
      </c>
      <c r="D21" s="93">
        <f>D19-D20</f>
        <v>1327645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5.75" thickBot="1" x14ac:dyDescent="0.2">
      <c r="C22" s="12" t="s">
        <v>37</v>
      </c>
      <c r="D22" s="13">
        <f>D21/D20</f>
        <v>5.2617738901049427E-2</v>
      </c>
      <c r="E22" s="23"/>
      <c r="F22" s="24"/>
      <c r="G22" s="23"/>
      <c r="H22" s="24"/>
      <c r="O22" s="97"/>
    </row>
    <row r="23" spans="2:15" x14ac:dyDescent="0.1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15">
      <c r="D24" s="25"/>
      <c r="E24" s="25"/>
    </row>
    <row r="26" spans="2:15" ht="17.25" customHeight="1" x14ac:dyDescent="0.15"/>
    <row r="28" spans="2:15" x14ac:dyDescent="0.15">
      <c r="G28" t="s">
        <v>21</v>
      </c>
    </row>
    <row r="29" spans="2:15" x14ac:dyDescent="0.15">
      <c r="B29" t="s">
        <v>53</v>
      </c>
    </row>
  </sheetData>
  <phoneticPr fontId="1" type="noConversion"/>
  <conditionalFormatting sqref="D2"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3">
    <cfRule type="dataBar" priority="1480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0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0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0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0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0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0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0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0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9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9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0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9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9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9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9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9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9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9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9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9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9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9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9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0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</conditionalFormatting>
  <conditionalFormatting sqref="E3:E14">
    <cfRule type="dataBar" priority="1480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480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0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2">
    <cfRule type="dataBar" priority="1480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{3B06CF53-F3EF-45E9-9716-27000C77A8AC}</x14:id>
        </ext>
      </extLst>
    </cfRule>
  </conditionalFormatting>
  <conditionalFormatting sqref="E14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</conditionalFormatting>
  <conditionalFormatting sqref="E15"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</conditionalFormatting>
  <conditionalFormatting sqref="E18:E20"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</conditionalFormatting>
  <conditionalFormatting sqref="E22"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</conditionalFormatting>
  <conditionalFormatting sqref="F2 F22 F18:F19">
    <cfRule type="dataBar" priority="138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</conditionalFormatting>
  <conditionalFormatting sqref="F16:F22 F2">
    <cfRule type="dataBar" priority="140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8:F20 F22">
    <cfRule type="dataBar" priority="1387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</conditionalFormatting>
  <conditionalFormatting sqref="F22"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</conditionalFormatting>
  <conditionalFormatting sqref="I2">
    <cfRule type="dataBar" priority="7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3B06CF53-F3EF-45E9-9716-27000C77A8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zoomScaleNormal="100" workbookViewId="0">
      <selection activeCell="C6" sqref="C6"/>
    </sheetView>
  </sheetViews>
  <sheetFormatPr defaultRowHeight="15" x14ac:dyDescent="0.15"/>
  <cols>
    <col min="2" max="2" width="17.02734375" customWidth="1"/>
    <col min="3" max="3" width="16.09765625" bestFit="1" customWidth="1"/>
    <col min="4" max="4" width="10.640625" customWidth="1"/>
    <col min="5" max="5" width="16.09765625" bestFit="1" customWidth="1"/>
    <col min="6" max="6" width="16.49609375" customWidth="1"/>
    <col min="7" max="7" width="13.0390625" customWidth="1"/>
    <col min="8" max="8" width="17.02734375" customWidth="1"/>
    <col min="9" max="9" width="12.50390625" customWidth="1"/>
    <col min="10" max="10" width="13.0390625" customWidth="1"/>
    <col min="11" max="11" width="10.91015625" customWidth="1"/>
    <col min="12" max="12" width="11.83984375" customWidth="1"/>
    <col min="13" max="13" width="11.04296875" customWidth="1"/>
  </cols>
  <sheetData>
    <row r="2" spans="2:6" x14ac:dyDescent="0.15">
      <c r="B2" s="140" t="s">
        <v>22</v>
      </c>
      <c r="C2" s="141"/>
      <c r="D2" s="141"/>
      <c r="E2" s="141"/>
      <c r="F2" s="141"/>
    </row>
    <row r="3" spans="2:6" x14ac:dyDescent="0.1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15">
      <c r="B4" s="7" t="s">
        <v>85</v>
      </c>
      <c r="C4" s="2">
        <v>55990</v>
      </c>
      <c r="D4" s="3">
        <v>169</v>
      </c>
      <c r="E4" s="2">
        <v>0</v>
      </c>
      <c r="F4" s="2">
        <f t="shared" ref="F4" si="0">C4*D4</f>
        <v>9462310</v>
      </c>
    </row>
    <row r="5" spans="2:6" x14ac:dyDescent="0.15">
      <c r="B5" s="7" t="s">
        <v>103</v>
      </c>
      <c r="C5" s="2">
        <v>10300</v>
      </c>
      <c r="D5" s="3">
        <v>183.5</v>
      </c>
      <c r="E5" s="2">
        <v>0</v>
      </c>
      <c r="F5" s="2">
        <f t="shared" ref="F5:F11" si="1">C5*D5</f>
        <v>1890050</v>
      </c>
    </row>
    <row r="6" spans="2:6" x14ac:dyDescent="0.15">
      <c r="B6" s="7" t="s">
        <v>94</v>
      </c>
      <c r="C6" s="2">
        <v>0</v>
      </c>
      <c r="D6" s="3">
        <f>VLOOKUP(B6,'[1]元大(自己)'!$B$4:$D$12,3,0)</f>
        <v>602</v>
      </c>
      <c r="E6" s="2">
        <v>0</v>
      </c>
      <c r="F6" s="2">
        <f t="shared" ref="F6:F9" si="2">C6*D6</f>
        <v>0</v>
      </c>
    </row>
    <row r="7" spans="2:6" x14ac:dyDescent="0.15">
      <c r="B7" s="7" t="s">
        <v>101</v>
      </c>
      <c r="C7" s="2">
        <v>2272</v>
      </c>
      <c r="D7" s="3">
        <v>5015</v>
      </c>
      <c r="E7" s="2">
        <v>5664000</v>
      </c>
      <c r="F7" s="2">
        <f t="shared" si="2"/>
        <v>11394080</v>
      </c>
    </row>
    <row r="8" spans="2:6" x14ac:dyDescent="0.15">
      <c r="B8" s="7" t="s">
        <v>98</v>
      </c>
      <c r="C8" s="2">
        <v>1065</v>
      </c>
      <c r="D8" s="3">
        <v>7620</v>
      </c>
      <c r="E8" s="2">
        <v>3275000</v>
      </c>
      <c r="F8" s="2">
        <f t="shared" si="2"/>
        <v>8115300</v>
      </c>
    </row>
    <row r="9" spans="2:6" x14ac:dyDescent="0.15">
      <c r="B9" s="7" t="s">
        <v>96</v>
      </c>
      <c r="C9" s="2">
        <v>6000</v>
      </c>
      <c r="D9" s="3">
        <v>312</v>
      </c>
      <c r="E9" s="2">
        <v>1149000</v>
      </c>
      <c r="F9" s="2">
        <f t="shared" si="2"/>
        <v>1872000</v>
      </c>
    </row>
    <row r="10" spans="2:6" x14ac:dyDescent="0.15">
      <c r="B10" s="7" t="s">
        <v>90</v>
      </c>
      <c r="C10" s="2">
        <v>1246</v>
      </c>
      <c r="D10" s="3">
        <v>2155</v>
      </c>
      <c r="E10" s="2">
        <v>0</v>
      </c>
      <c r="F10" s="2">
        <f t="shared" si="1"/>
        <v>2685130</v>
      </c>
    </row>
    <row r="11" spans="2:6" x14ac:dyDescent="0.15">
      <c r="B11" s="7" t="s">
        <v>87</v>
      </c>
      <c r="C11" s="2">
        <v>0</v>
      </c>
      <c r="D11" s="3">
        <f>VLOOKUP(B11,'[1]元大(自己)'!$B$4:$D$12,3,0)</f>
        <v>42.88</v>
      </c>
      <c r="E11" s="2">
        <v>0</v>
      </c>
      <c r="F11" s="2">
        <f t="shared" si="1"/>
        <v>0</v>
      </c>
    </row>
    <row r="12" spans="2:6" x14ac:dyDescent="0.15">
      <c r="B12" s="7"/>
      <c r="C12" s="2"/>
      <c r="D12" s="32"/>
      <c r="E12" s="3"/>
      <c r="F12" s="3"/>
    </row>
    <row r="13" spans="2:6" x14ac:dyDescent="0.15">
      <c r="C13" s="85"/>
    </row>
    <row r="14" spans="2:6" x14ac:dyDescent="0.15">
      <c r="D14" s="4" t="s">
        <v>57</v>
      </c>
      <c r="E14" s="9">
        <f>SUM(E4:E11)</f>
        <v>10088000</v>
      </c>
      <c r="F14" s="9">
        <f>SUM(F4:F11)</f>
        <v>35418870</v>
      </c>
    </row>
    <row r="15" spans="2:6" ht="15.75" thickBot="1" x14ac:dyDescent="0.2"/>
    <row r="16" spans="2:6" x14ac:dyDescent="0.15">
      <c r="B16" s="138" t="s">
        <v>32</v>
      </c>
      <c r="C16" s="139"/>
      <c r="D16" s="5"/>
      <c r="E16" s="5"/>
      <c r="F16" s="5"/>
    </row>
    <row r="17" spans="2:13" x14ac:dyDescent="0.15">
      <c r="B17" s="72" t="s">
        <v>43</v>
      </c>
      <c r="C17" s="8">
        <v>407664</v>
      </c>
      <c r="E17" s="132">
        <v>31.9</v>
      </c>
      <c r="F17" s="5"/>
    </row>
    <row r="18" spans="2:13" x14ac:dyDescent="0.15">
      <c r="B18" s="72" t="s">
        <v>44</v>
      </c>
      <c r="C18" s="8">
        <v>2531936</v>
      </c>
      <c r="E18" s="5"/>
      <c r="F18" s="5"/>
    </row>
    <row r="19" spans="2:13" x14ac:dyDescent="0.15">
      <c r="B19" s="72" t="s">
        <v>45</v>
      </c>
      <c r="C19" s="8">
        <v>-1710935</v>
      </c>
      <c r="E19" s="5"/>
      <c r="F19" s="5"/>
    </row>
    <row r="20" spans="2:13" ht="15.75" thickBot="1" x14ac:dyDescent="0.2">
      <c r="B20" s="73" t="s">
        <v>46</v>
      </c>
      <c r="C20" s="74">
        <f>SUM(C17:C19)</f>
        <v>1228665</v>
      </c>
      <c r="F20" s="129">
        <f>F23+期貨!C4</f>
        <v>26559535</v>
      </c>
    </row>
    <row r="21" spans="2:13" ht="15.75" thickBot="1" x14ac:dyDescent="0.2">
      <c r="B21" s="75" t="s">
        <v>33</v>
      </c>
      <c r="C21" s="76">
        <v>0</v>
      </c>
      <c r="F21" s="23"/>
    </row>
    <row r="23" spans="2:13" x14ac:dyDescent="0.15">
      <c r="D23" s="6" t="s">
        <v>47</v>
      </c>
      <c r="E23" s="6"/>
      <c r="F23" s="10">
        <f>F14+C20+C21-E14</f>
        <v>26559535</v>
      </c>
    </row>
    <row r="25" spans="2:13" x14ac:dyDescent="0.15">
      <c r="F25" s="129"/>
    </row>
    <row r="26" spans="2:13" x14ac:dyDescent="0.15">
      <c r="F26" s="23"/>
    </row>
    <row r="27" spans="2:13" x14ac:dyDescent="0.15">
      <c r="D27" s="121">
        <f>SUM(D28:D43)</f>
        <v>0.99969000000000019</v>
      </c>
      <c r="H27" s="23">
        <f>(F23+期貨!C4)*0.67</f>
        <v>17794888.449999999</v>
      </c>
      <c r="K27" t="s">
        <v>60</v>
      </c>
      <c r="L27" t="s">
        <v>61</v>
      </c>
      <c r="M27" t="s">
        <v>62</v>
      </c>
    </row>
    <row r="28" spans="2:13" x14ac:dyDescent="0.1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1417.5927989943821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1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3">$H$27*F29/G29</f>
        <v>4407.5374361746717</v>
      </c>
      <c r="I29">
        <v>4</v>
      </c>
      <c r="J29">
        <f t="shared" ref="J29:J43" si="4">I29*G29</f>
        <v>1374</v>
      </c>
      <c r="K29">
        <v>4</v>
      </c>
      <c r="L29">
        <v>0</v>
      </c>
      <c r="M29">
        <v>0</v>
      </c>
    </row>
    <row r="30" spans="2:13" x14ac:dyDescent="0.1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3"/>
        <v>860.22108484431794</v>
      </c>
      <c r="I30">
        <v>1</v>
      </c>
      <c r="J30">
        <f t="shared" si="4"/>
        <v>1760</v>
      </c>
      <c r="K30">
        <v>1</v>
      </c>
      <c r="L30">
        <v>0</v>
      </c>
      <c r="M30">
        <v>0</v>
      </c>
    </row>
    <row r="31" spans="2:13" x14ac:dyDescent="0.1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3"/>
        <v>3892.0028517377882</v>
      </c>
      <c r="I31">
        <v>4</v>
      </c>
      <c r="J31">
        <f t="shared" si="4"/>
        <v>778</v>
      </c>
      <c r="K31">
        <v>4</v>
      </c>
      <c r="L31">
        <v>0</v>
      </c>
      <c r="M31">
        <v>0</v>
      </c>
    </row>
    <row r="32" spans="2:13" x14ac:dyDescent="0.1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3"/>
        <v>2957.009979152343</v>
      </c>
      <c r="I32">
        <v>3</v>
      </c>
      <c r="J32">
        <f t="shared" si="4"/>
        <v>768</v>
      </c>
      <c r="K32">
        <v>3</v>
      </c>
      <c r="L32">
        <v>0</v>
      </c>
      <c r="M32">
        <v>0</v>
      </c>
    </row>
    <row r="33" spans="2:13" x14ac:dyDescent="0.1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3"/>
        <v>5723.9663868657835</v>
      </c>
      <c r="I33">
        <v>5</v>
      </c>
      <c r="J33">
        <f t="shared" si="4"/>
        <v>1322.5</v>
      </c>
      <c r="K33">
        <v>5</v>
      </c>
      <c r="L33">
        <v>0</v>
      </c>
      <c r="M33">
        <v>0</v>
      </c>
    </row>
    <row r="34" spans="2:13" x14ac:dyDescent="0.1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3"/>
        <v>274.27338937065213</v>
      </c>
      <c r="I34">
        <v>0.3</v>
      </c>
      <c r="J34">
        <f t="shared" si="4"/>
        <v>1656</v>
      </c>
      <c r="K34">
        <v>0.3</v>
      </c>
      <c r="L34">
        <v>0</v>
      </c>
      <c r="M34">
        <v>0</v>
      </c>
    </row>
    <row r="35" spans="2:13" x14ac:dyDescent="0.1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3"/>
        <v>3784.9727733149989</v>
      </c>
      <c r="I35">
        <v>4</v>
      </c>
      <c r="J35">
        <f t="shared" si="4"/>
        <v>400</v>
      </c>
      <c r="K35">
        <v>4</v>
      </c>
      <c r="L35">
        <v>0</v>
      </c>
      <c r="M35">
        <v>0</v>
      </c>
    </row>
    <row r="36" spans="2:13" x14ac:dyDescent="0.1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3"/>
        <v>6256.1533443223125</v>
      </c>
      <c r="I36">
        <v>6</v>
      </c>
      <c r="J36">
        <f t="shared" si="4"/>
        <v>363</v>
      </c>
      <c r="K36">
        <v>6</v>
      </c>
      <c r="L36">
        <v>0</v>
      </c>
      <c r="M36">
        <v>0</v>
      </c>
    </row>
    <row r="37" spans="2:13" x14ac:dyDescent="0.1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3"/>
        <v>3456.596140013698</v>
      </c>
      <c r="I37">
        <v>3</v>
      </c>
      <c r="J37">
        <f t="shared" si="4"/>
        <v>328.5</v>
      </c>
      <c r="K37">
        <v>3</v>
      </c>
      <c r="L37">
        <v>0</v>
      </c>
      <c r="M37">
        <v>0</v>
      </c>
    </row>
    <row r="38" spans="2:13" x14ac:dyDescent="0.1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3"/>
        <v>8166.0685508414217</v>
      </c>
      <c r="I38">
        <v>7</v>
      </c>
      <c r="J38">
        <f t="shared" si="4"/>
        <v>648.9</v>
      </c>
      <c r="K38">
        <v>7</v>
      </c>
      <c r="L38">
        <v>0</v>
      </c>
      <c r="M38">
        <v>0</v>
      </c>
    </row>
    <row r="39" spans="2:13" x14ac:dyDescent="0.1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3"/>
        <v>5800.7245568045964</v>
      </c>
      <c r="I39">
        <v>5</v>
      </c>
      <c r="J39">
        <f t="shared" si="4"/>
        <v>652.5</v>
      </c>
      <c r="K39">
        <v>5</v>
      </c>
      <c r="L39">
        <v>0</v>
      </c>
      <c r="M39">
        <v>0</v>
      </c>
    </row>
    <row r="40" spans="2:13" x14ac:dyDescent="0.1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3"/>
        <v>1040.5423431793811</v>
      </c>
      <c r="I40">
        <v>1</v>
      </c>
      <c r="J40">
        <f t="shared" si="4"/>
        <v>1455</v>
      </c>
      <c r="K40">
        <v>1</v>
      </c>
      <c r="L40">
        <v>0</v>
      </c>
      <c r="M40">
        <v>0</v>
      </c>
    </row>
    <row r="41" spans="2:13" x14ac:dyDescent="0.1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3"/>
        <v>912.04163212409617</v>
      </c>
      <c r="I41">
        <v>1</v>
      </c>
      <c r="J41">
        <f t="shared" si="4"/>
        <v>830</v>
      </c>
      <c r="K41">
        <v>1</v>
      </c>
      <c r="L41">
        <v>0</v>
      </c>
      <c r="M41">
        <v>0</v>
      </c>
    </row>
    <row r="42" spans="2:13" x14ac:dyDescent="0.1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3"/>
        <v>3349.5334277123884</v>
      </c>
      <c r="I42">
        <v>3</v>
      </c>
      <c r="J42">
        <f t="shared" si="4"/>
        <v>678</v>
      </c>
      <c r="K42">
        <v>3</v>
      </c>
      <c r="L42">
        <v>0</v>
      </c>
      <c r="M42">
        <v>0</v>
      </c>
    </row>
    <row r="43" spans="2:13" x14ac:dyDescent="0.1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3"/>
        <v>786.89662646881482</v>
      </c>
      <c r="I43">
        <v>1</v>
      </c>
      <c r="J43">
        <f t="shared" si="4"/>
        <v>962</v>
      </c>
      <c r="K43">
        <v>1</v>
      </c>
      <c r="L43">
        <v>0</v>
      </c>
      <c r="M43">
        <v>0</v>
      </c>
    </row>
    <row r="46" spans="2:13" x14ac:dyDescent="0.1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5" x14ac:dyDescent="0.15"/>
  <cols>
    <col min="2" max="2" width="14.1015625" customWidth="1"/>
    <col min="3" max="3" width="15.30078125" customWidth="1"/>
  </cols>
  <sheetData>
    <row r="3" spans="2:3" x14ac:dyDescent="0.15">
      <c r="B3" s="142" t="s">
        <v>64</v>
      </c>
      <c r="C3" s="142"/>
    </row>
    <row r="4" spans="2:3" x14ac:dyDescent="0.15">
      <c r="B4" s="127" t="s">
        <v>65</v>
      </c>
      <c r="C4" s="128">
        <v>0</v>
      </c>
    </row>
    <row r="5" spans="2:3" x14ac:dyDescent="0.15">
      <c r="B5" s="127" t="s">
        <v>66</v>
      </c>
      <c r="C5" s="2">
        <v>0</v>
      </c>
    </row>
    <row r="6" spans="2:3" x14ac:dyDescent="0.1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2026-09-18T08:51:06Z</dcterms:modified>
  <cp:category/>
  <cp:contentStatus/>
</cp:coreProperties>
</file>