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8_{FFD77536-83C1-C841-8BAF-5C440592FCBA}" xr6:coauthVersionLast="47" xr6:coauthVersionMax="47" xr10:uidLastSave="{00000000-0000-0000-0000-000000000000}"/>
  <bookViews>
    <workbookView xWindow="-28920" yWindow="1455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按股票分類!$C$2:$O$26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19" i="17"/>
  <c r="F4" i="2"/>
  <c r="D3" i="17"/>
  <c r="F8" i="2"/>
  <c r="D10" i="17"/>
  <c r="F7" i="2"/>
  <c r="D6" i="17"/>
  <c r="F5" i="2"/>
  <c r="D4" i="17"/>
  <c r="F9" i="2"/>
  <c r="D13" i="17"/>
  <c r="F10" i="2"/>
  <c r="D12" i="17"/>
  <c r="F11" i="2"/>
  <c r="D11" i="17"/>
  <c r="F12" i="2"/>
  <c r="D9" i="17"/>
  <c r="F13" i="2"/>
  <c r="D8" i="17"/>
  <c r="F14" i="2"/>
  <c r="D7" i="17"/>
  <c r="F15" i="2"/>
  <c r="D5" i="17"/>
  <c r="D14" i="17"/>
  <c r="D15" i="17"/>
  <c r="F6" i="17"/>
  <c r="F13" i="17"/>
  <c r="F12" i="17"/>
  <c r="F11" i="17"/>
  <c r="F3" i="17"/>
  <c r="F4" i="17"/>
  <c r="F5" i="17"/>
  <c r="F7" i="17"/>
  <c r="F14" i="17"/>
  <c r="F9" i="17"/>
  <c r="F8" i="17"/>
  <c r="F15" i="17"/>
  <c r="D21" i="17"/>
  <c r="D20" i="17"/>
  <c r="D23" i="17"/>
  <c r="B176" i="36"/>
  <c r="E176" i="36"/>
  <c r="E13" i="2"/>
  <c r="E12" i="2"/>
  <c r="D11" i="2"/>
  <c r="D10" i="2"/>
  <c r="D9" i="2"/>
  <c r="D6" i="2"/>
  <c r="R176" i="36"/>
  <c r="Q176" i="36"/>
  <c r="I7" i="36"/>
  <c r="J7" i="36"/>
  <c r="P176" i="36"/>
  <c r="G7" i="36"/>
  <c r="O176" i="36"/>
  <c r="R174" i="36"/>
  <c r="Q174" i="36"/>
  <c r="P174" i="36"/>
  <c r="O174" i="36"/>
  <c r="N174" i="36"/>
  <c r="R173" i="36"/>
  <c r="Q173" i="36"/>
  <c r="P173" i="36"/>
  <c r="O173" i="36"/>
  <c r="N173" i="36"/>
  <c r="R172" i="36"/>
  <c r="Q172" i="36"/>
  <c r="P172" i="36"/>
  <c r="O172" i="36"/>
  <c r="N172" i="36"/>
  <c r="R171" i="36"/>
  <c r="Q171" i="36"/>
  <c r="P171" i="36"/>
  <c r="O171" i="36"/>
  <c r="C171" i="36"/>
  <c r="N171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F6" i="2"/>
  <c r="R163" i="36"/>
  <c r="Q163" i="36"/>
  <c r="N163" i="36"/>
  <c r="H21" i="17"/>
  <c r="J21" i="17"/>
  <c r="H20" i="17"/>
  <c r="J20" i="17"/>
  <c r="E5" i="2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5" i="17"/>
  <c r="G15" i="17"/>
  <c r="E15" i="2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50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31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32" i="2"/>
  <c r="O17" i="17"/>
  <c r="H16" i="17"/>
  <c r="J16" i="17"/>
  <c r="O16" i="17"/>
  <c r="D17" i="17"/>
  <c r="G17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P85" i="36"/>
  <c r="P75" i="36"/>
  <c r="P78" i="36"/>
  <c r="P69" i="36"/>
  <c r="P74" i="36"/>
  <c r="P54" i="36"/>
  <c r="P106" i="36"/>
  <c r="P114" i="36"/>
  <c r="P17" i="36"/>
  <c r="P146" i="36"/>
  <c r="P100" i="36"/>
  <c r="P87" i="36"/>
  <c r="P110" i="36"/>
  <c r="P50" i="36"/>
  <c r="P136" i="36"/>
  <c r="P152" i="36"/>
  <c r="P82" i="36"/>
  <c r="P143" i="36"/>
  <c r="P70" i="36"/>
  <c r="P137" i="36"/>
  <c r="P97" i="36"/>
  <c r="P66" i="36"/>
  <c r="P43" i="36"/>
  <c r="P22" i="36"/>
  <c r="P76" i="36"/>
  <c r="P133" i="36"/>
  <c r="P20" i="36"/>
  <c r="P132" i="36"/>
  <c r="P47" i="36"/>
  <c r="P24" i="36"/>
  <c r="P116" i="36"/>
  <c r="P36" i="36"/>
  <c r="P109" i="36"/>
  <c r="P33" i="36"/>
  <c r="P148" i="36"/>
  <c r="P83" i="36"/>
  <c r="P51" i="36"/>
  <c r="P8" i="36"/>
  <c r="P48" i="36"/>
  <c r="P128" i="36"/>
  <c r="P19" i="36"/>
  <c r="P26" i="36"/>
  <c r="P115" i="36"/>
  <c r="P52" i="36"/>
  <c r="P144" i="36"/>
  <c r="P32" i="36"/>
  <c r="P117" i="36"/>
  <c r="P94" i="36"/>
  <c r="P12" i="36"/>
  <c r="P16" i="36"/>
  <c r="P107" i="36"/>
  <c r="P88" i="36"/>
  <c r="P98" i="36"/>
  <c r="P102" i="36"/>
  <c r="P138" i="36"/>
  <c r="P65" i="36"/>
  <c r="P55" i="36"/>
  <c r="P153" i="36"/>
  <c r="P31" i="36"/>
  <c r="P108" i="36"/>
  <c r="P147" i="36"/>
  <c r="P141" i="36"/>
  <c r="P53" i="36"/>
  <c r="P104" i="36"/>
  <c r="P118" i="36"/>
  <c r="O65" i="36"/>
  <c r="O36" i="36"/>
  <c r="O15" i="36"/>
  <c r="O55" i="36"/>
  <c r="O80" i="36"/>
  <c r="O67" i="36"/>
  <c r="O49" i="36"/>
  <c r="O34" i="36"/>
  <c r="O133" i="36"/>
  <c r="H8" i="17"/>
  <c r="J8" i="17"/>
  <c r="O8" i="17"/>
  <c r="O9" i="17"/>
  <c r="H9" i="17"/>
  <c r="J9" i="17"/>
  <c r="O11" i="17"/>
  <c r="H11" i="17"/>
  <c r="J11" i="17"/>
  <c r="H12" i="17"/>
  <c r="J12" i="17"/>
  <c r="O12" i="17"/>
  <c r="O13" i="17"/>
  <c r="H13" i="17"/>
  <c r="J13" i="17"/>
  <c r="H17" i="17"/>
  <c r="J17" i="17"/>
  <c r="P9" i="36"/>
  <c r="P163" i="36"/>
  <c r="P142" i="36"/>
  <c r="P126" i="36"/>
  <c r="P129" i="36"/>
  <c r="P162" i="36"/>
  <c r="P161" i="36"/>
  <c r="P46" i="36"/>
  <c r="P77" i="36"/>
  <c r="P157" i="36"/>
  <c r="P30" i="36"/>
  <c r="P61" i="36"/>
  <c r="P56" i="36"/>
  <c r="P122" i="36"/>
  <c r="P121" i="36"/>
  <c r="P64" i="36"/>
  <c r="P41" i="36"/>
  <c r="P92" i="36"/>
  <c r="P124" i="36"/>
  <c r="P99" i="36"/>
  <c r="P79" i="36"/>
  <c r="P44" i="36"/>
  <c r="P38" i="36"/>
  <c r="P111" i="36"/>
  <c r="P23" i="36"/>
  <c r="P113" i="36"/>
  <c r="P131" i="36"/>
  <c r="P130" i="36"/>
  <c r="P149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H4" i="17"/>
  <c r="J4" i="17"/>
  <c r="O4" i="17"/>
  <c r="F18" i="2"/>
  <c r="E18" i="2"/>
  <c r="O3" i="17"/>
  <c r="H3" i="17"/>
  <c r="J3" i="17"/>
  <c r="O14" i="17"/>
  <c r="H14" i="17"/>
  <c r="J14" i="17"/>
  <c r="O6" i="17"/>
  <c r="H6" i="17"/>
  <c r="J6" i="17"/>
  <c r="H10" i="17"/>
  <c r="J10" i="17"/>
  <c r="O10" i="17"/>
  <c r="O5" i="17"/>
  <c r="H5" i="17"/>
  <c r="G23" i="17"/>
  <c r="P119" i="36"/>
  <c r="P140" i="36"/>
  <c r="P127" i="36"/>
  <c r="P18" i="36"/>
  <c r="P67" i="36"/>
  <c r="P49" i="36"/>
  <c r="P139" i="36"/>
  <c r="P150" i="36"/>
  <c r="P151" i="36"/>
  <c r="P155" i="36"/>
  <c r="P86" i="36"/>
  <c r="P95" i="36"/>
  <c r="P72" i="36"/>
  <c r="P120" i="36"/>
  <c r="P101" i="36"/>
  <c r="P90" i="36"/>
  <c r="P13" i="36"/>
  <c r="P35" i="36"/>
  <c r="P125" i="36"/>
  <c r="P59" i="36"/>
  <c r="P63" i="36"/>
  <c r="P91" i="36"/>
  <c r="P11" i="36"/>
  <c r="P89" i="36"/>
  <c r="P42" i="36"/>
  <c r="P71" i="36"/>
  <c r="P103" i="36"/>
  <c r="P81" i="36"/>
  <c r="P15" i="36"/>
  <c r="P84" i="36"/>
  <c r="P40" i="36"/>
  <c r="P27" i="36"/>
  <c r="P39" i="36"/>
  <c r="P57" i="36"/>
  <c r="P21" i="36"/>
  <c r="P68" i="36"/>
  <c r="P28" i="36"/>
  <c r="P73" i="36"/>
  <c r="P105" i="36"/>
  <c r="P60" i="36"/>
  <c r="P37" i="36"/>
  <c r="P156" i="36"/>
  <c r="P158" i="36"/>
  <c r="P34" i="36"/>
  <c r="P123" i="36"/>
  <c r="P96" i="36"/>
  <c r="P80" i="36"/>
  <c r="P58" i="36"/>
  <c r="P29" i="36"/>
  <c r="P159" i="36"/>
  <c r="P160" i="36"/>
  <c r="P45" i="36"/>
  <c r="P112" i="36"/>
  <c r="P62" i="36"/>
  <c r="P25" i="36"/>
  <c r="P10" i="36"/>
  <c r="P154" i="36"/>
  <c r="P93" i="36"/>
  <c r="P145" i="36"/>
  <c r="P14" i="36"/>
  <c r="N128" i="36"/>
  <c r="S171" i="36"/>
  <c r="K176" i="36"/>
  <c r="H7" i="17"/>
  <c r="J7" i="17"/>
  <c r="O7" i="17"/>
  <c r="O15" i="17"/>
  <c r="F27" i="2"/>
  <c r="H15" i="17"/>
  <c r="J15" i="17"/>
  <c r="J5" i="17"/>
  <c r="H19" i="17"/>
  <c r="J19" i="17"/>
  <c r="E19" i="17"/>
  <c r="E6" i="17"/>
  <c r="E8" i="17"/>
  <c r="E9" i="17"/>
  <c r="E11" i="17"/>
  <c r="E12" i="17"/>
  <c r="E13" i="17"/>
  <c r="F24" i="2"/>
  <c r="H31" i="2"/>
  <c r="D22" i="17"/>
  <c r="E16" i="17"/>
  <c r="E3" i="17"/>
  <c r="D25" i="17"/>
  <c r="D26" i="17"/>
  <c r="E2" i="36"/>
  <c r="H23" i="17"/>
  <c r="J23" i="17"/>
  <c r="B2" i="36"/>
  <c r="E15" i="17"/>
  <c r="E7" i="17"/>
  <c r="E21" i="17"/>
  <c r="E10" i="17"/>
  <c r="E20" i="17"/>
  <c r="E23" i="17"/>
  <c r="E5" i="17"/>
  <c r="E4" i="17"/>
  <c r="E14" i="17"/>
  <c r="H40" i="2"/>
  <c r="H45" i="2"/>
  <c r="H43" i="2"/>
  <c r="H33" i="2"/>
  <c r="H36" i="2"/>
  <c r="H34" i="2"/>
  <c r="H41" i="2"/>
  <c r="H39" i="2"/>
  <c r="H42" i="2"/>
  <c r="H32" i="2"/>
  <c r="H38" i="2"/>
  <c r="H44" i="2"/>
  <c r="H47" i="2"/>
  <c r="H35" i="2"/>
  <c r="H46" i="2"/>
  <c r="H37" i="2"/>
  <c r="T176" i="36"/>
  <c r="C176" i="36"/>
  <c r="N176" i="36"/>
  <c r="S176" i="36"/>
  <c r="D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<sst xmlns="http://schemas.openxmlformats.org/spreadsheetml/2006/main" count="130" uniqueCount="113">
  <si>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</si>
  <si>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</si>
  <si>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</si>
  <si>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</si>
  <si>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</si>
  <si>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</si>
  <si>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</si>
  <si>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</si>
  <si>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</si>
  <si>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</si>
  <si>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</si>
  <si>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</si>
  <si>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</si>
  <si>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</si>
  <si>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</si>
  <si>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</si>
  <si>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</si>
  <si>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</si>
  <si>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</si>
  <si>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</si>
  <si>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</si>
  <si>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</si>
  <si>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</si>
  <si>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</si>
  <si>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</si>
  <si>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</si>
  <si>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</si>
  <si>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</si>
  <si>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</si>
  <si>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</si>
  <si>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</si>
  <si>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</si>
  <si>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</si>
  <si>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</si>
  <si>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</si>
  <si>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</si>
  <si>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</si>
  <si>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</si>
  <si>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</si>
  <si>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</si>
  <si>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</si>
  <si>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</si>
  <si>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</si>
  <si>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</si>
  <si>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</si>
  <si>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</si>
  <si>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</si>
  <si>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</si>
  <si>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</si>
  <si>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</si>
  <si>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</si>
  <si>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</si>
  <si>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</si>
  <si>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</si>
  <si>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</si>
  <si>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</si>
  <si>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</si>
  <si>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</si>
  <si>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</si>
  <si>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</si>
  <si>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</si>
  <si>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</si>
  <si>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</si>
  <si>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</si>
  <si>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</si>
  <si>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</si>
  <si>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</si>
  <si>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</si>
  <si>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</si>
  <si>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</si>
  <si>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</si>
  <si>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</si>
  <si>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</si>
  <si>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</si>
  <si>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</si>
  <si>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</si>
  <si>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</si>
  <si>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</si>
  <si>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</si>
  <si>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</si>
  <si>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</si>
  <si>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</si>
  <si>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</si>
  <si>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</si>
  <si>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</si>
  <si>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</si>
  <si>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</si>
  <si>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</si>
  <si>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</si>
  <si>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</si>
  <si>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</si>
  <si>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</si>
  <si>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</si>
  <si>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</si>
  <si>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</si>
  <si>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</si>
  <si>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</si>
  <si>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</si>
  <si>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</si>
  <si>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</si>
  <si>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聯發科</t>
    <phoneticPr fontId="1" type="noConversion"/>
  </si>
  <si>
    <t>聯發科(2454)</t>
    <phoneticPr fontId="1" type="noConversion"/>
  </si>
  <si>
    <t>半導體</t>
    <phoneticPr fontId="1" type="noConversion"/>
  </si>
  <si>
    <t>台塑化</t>
    <phoneticPr fontId="1" type="noConversion"/>
  </si>
  <si>
    <t>精材</t>
    <phoneticPr fontId="1" type="noConversion"/>
  </si>
  <si>
    <t>南亞</t>
    <phoneticPr fontId="1" type="noConversion"/>
  </si>
  <si>
    <t>永豐金</t>
    <phoneticPr fontId="1" type="noConversion"/>
  </si>
  <si>
    <t>玉山金</t>
    <phoneticPr fontId="1" type="noConversion"/>
  </si>
  <si>
    <t>台塑化(6505)</t>
    <phoneticPr fontId="1" type="noConversion"/>
  </si>
  <si>
    <t>精材(3374)</t>
    <phoneticPr fontId="1" type="noConversion"/>
  </si>
  <si>
    <t>南亞(1303)</t>
    <phoneticPr fontId="1" type="noConversion"/>
  </si>
  <si>
    <t>永豐金(2890)</t>
    <phoneticPr fontId="1" type="noConversion"/>
  </si>
  <si>
    <t>玉山金(2884)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</si>
</sst>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總表!$A$7:$A$180</c:f>
              <c:numCache>
                <c:formatCode>m/d/yy</c:formatCode>
                <c:ptCount val="17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</c:numCache>
            </c:numRef>
          </c:cat>
          <c:val>
            <c:numRef>
              <c:f>總表!$N$7:$N$180</c:f>
              <c:numCache>
                <c:formatCode>0.0%</c:formatCode>
                <c:ptCount val="174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總表!$A$7:$A$180</c:f>
              <c:numCache>
                <c:formatCode>m/d/yy</c:formatCode>
                <c:ptCount val="17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</c:numCache>
            </c:numRef>
          </c:cat>
          <c:val>
            <c:numRef>
              <c:f>總表!$Q$7:$Q$180</c:f>
              <c:numCache>
                <c:formatCode>0.0%</c:formatCode>
                <c:ptCount val="174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總表!$A$7:$A$180</c:f>
              <c:numCache>
                <c:formatCode>m/d/yy</c:formatCode>
                <c:ptCount val="17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</c:numCache>
            </c:numRef>
          </c:cat>
          <c:val>
            <c:numRef>
              <c:f>總表!$R$7:$R$180</c:f>
              <c:numCache>
                <c:formatCode>0.0%</c:formatCode>
                <c:ptCount val="174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176</xdr:row>
      <xdr:rowOff>185464</xdr:rowOff>
    </xdr:from>
    <xdr:to>
      <xdr:col>20</xdr:col>
      <xdr:colOff>39252</xdr:colOff>
      <xdr:row>197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.DESKTOP-GSQ4N18/Downloads/&#32929;&#31080;&#32317;&#37096;&#20301;&#24115;20260911.xlsx" TargetMode="External"/><Relationship Id="rId1" Type="http://schemas.openxmlformats.org/officeDocument/2006/relationships/externalLinkPath" Target="&#32929;&#31080;&#32317;&#37096;&#20301;&#24115;202609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37.85</v>
          </cell>
        </row>
        <row r="5">
          <cell r="B5" t="str">
            <v>緯穎</v>
          </cell>
          <cell r="C5">
            <v>0</v>
          </cell>
          <cell r="D5">
            <v>2315</v>
          </cell>
        </row>
        <row r="6">
          <cell r="B6" t="str">
            <v>富邦金</v>
          </cell>
          <cell r="C6">
            <v>0</v>
          </cell>
          <cell r="D6">
            <v>144.57</v>
          </cell>
        </row>
        <row r="7">
          <cell r="B7" t="str">
            <v>聯發科</v>
          </cell>
          <cell r="C7">
            <v>0</v>
          </cell>
          <cell r="D7">
            <v>4556.29</v>
          </cell>
        </row>
        <row r="8">
          <cell r="B8" t="str">
            <v>中華立鼎</v>
          </cell>
          <cell r="C8">
            <v>6000</v>
          </cell>
          <cell r="D8">
            <v>595</v>
          </cell>
        </row>
        <row r="9">
          <cell r="B9" t="str">
            <v>台新新光金</v>
          </cell>
          <cell r="C9">
            <v>0</v>
          </cell>
          <cell r="D9">
            <v>42.65</v>
          </cell>
        </row>
        <row r="10">
          <cell r="B10" t="str">
            <v>仲恩生醫</v>
          </cell>
          <cell r="C10">
            <v>0</v>
          </cell>
          <cell r="D10">
            <v>126.5</v>
          </cell>
        </row>
        <row r="11">
          <cell r="B11" t="str">
            <v>台塑化</v>
          </cell>
          <cell r="C11">
            <v>0</v>
          </cell>
          <cell r="D11">
            <v>83.7</v>
          </cell>
        </row>
        <row r="12">
          <cell r="B12" t="str">
            <v>精材</v>
          </cell>
          <cell r="C12">
            <v>0</v>
          </cell>
          <cell r="D12">
            <v>464</v>
          </cell>
        </row>
        <row r="13">
          <cell r="B13" t="str">
            <v>南亞</v>
          </cell>
          <cell r="C13">
            <v>0</v>
          </cell>
          <cell r="D13">
            <v>235</v>
          </cell>
        </row>
        <row r="14">
          <cell r="B14" t="str">
            <v>永豐金</v>
          </cell>
          <cell r="C14">
            <v>0</v>
          </cell>
          <cell r="D14">
            <v>43.75</v>
          </cell>
        </row>
        <row r="15">
          <cell r="B15" t="str">
            <v>玉山金</v>
          </cell>
          <cell r="C15">
            <v>0</v>
          </cell>
          <cell r="D15">
            <v>46.3</v>
          </cell>
        </row>
        <row r="16">
          <cell r="B16" t="str">
            <v>仁新</v>
          </cell>
          <cell r="C16">
            <v>38000</v>
          </cell>
          <cell r="D16">
            <v>169</v>
          </cell>
        </row>
        <row r="17">
          <cell r="B17" t="str">
            <v>BLTE</v>
          </cell>
          <cell r="C17">
            <v>0</v>
          </cell>
          <cell r="D17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7"/>
  <sheetViews>
    <sheetView tabSelected="1" topLeftCell="A2" zoomScale="70" zoomScaleNormal="70" workbookViewId="0">
      <pane xSplit="1" ySplit="5" topLeftCell="D163" activePane="bottomRight" state="frozen"/>
      <selection activeCell="A2" sqref="A2"/>
      <selection pane="bottomLeft" activeCell="B5" sqref="B5"/>
      <selection pane="topRight" activeCell="B5" sqref="B5"/>
      <selection pane="bottomRight" activeCell="M177" sqref="M177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按股票分類!D23</f>
        <v>25307211</v>
      </c>
      <c r="C2" s="35"/>
      <c r="D2" s="35"/>
      <c r="E2" s="36">
        <f>按股票分類!D15/按股票分類!D23</f>
        <v>1.5295920202348652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46279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6" si="314">C169/C$7-1</f>
        <v>0.93081870735688854</v>
      </c>
      <c r="O169" s="61" t="e">
        <f t="shared" ref="O169:O176" si="315">G169/G$7-1</f>
        <v>#REF!</v>
      </c>
      <c r="P169" s="61" t="e">
        <f t="shared" ref="P169:P176" si="316">J169/J$7-1</f>
        <v>#REF!</v>
      </c>
      <c r="Q169" s="61">
        <f t="shared" ref="Q169:Q176" si="317">L169/L$7-1</f>
        <v>0.60660550074515251</v>
      </c>
      <c r="R169" s="61">
        <f t="shared" ref="R169:R176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si="314"/>
        <v>1.1147346969436294</v>
      </c>
      <c r="O172" s="61" t="e">
        <f t="shared" si="315"/>
        <v>#REF!</v>
      </c>
      <c r="P172" s="61" t="e">
        <f t="shared" si="316"/>
        <v>#REF!</v>
      </c>
      <c r="Q172" s="61">
        <f t="shared" si="317"/>
        <v>0.65049666206313916</v>
      </c>
      <c r="R172" s="61">
        <f t="shared" si="318"/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4"/>
        <v>1.0412225967398387</v>
      </c>
      <c r="O173" s="61" t="e">
        <f t="shared" si="315"/>
        <v>#REF!</v>
      </c>
      <c r="P173" s="61" t="e">
        <f t="shared" si="316"/>
        <v>#REF!</v>
      </c>
      <c r="Q173" s="61">
        <f t="shared" si="317"/>
        <v>0.65326272365572891</v>
      </c>
      <c r="R173" s="61">
        <f t="shared" si="318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4"/>
        <v>1.0459285950258352</v>
      </c>
      <c r="O174" s="61" t="e">
        <f t="shared" si="315"/>
        <v>#REF!</v>
      </c>
      <c r="P174" s="61" t="e">
        <f t="shared" si="316"/>
        <v>#REF!</v>
      </c>
      <c r="Q174" s="61">
        <f t="shared" si="317"/>
        <v>0.64476273624942682</v>
      </c>
      <c r="R174" s="61">
        <f t="shared" si="318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v>1.0262715896213122</v>
      </c>
      <c r="O175" s="61" t="e">
        <v>#REF!</v>
      </c>
      <c r="P175" s="61" t="e">
        <v>#REF!</v>
      </c>
      <c r="Q175" s="61">
        <v>0.6182857761920848</v>
      </c>
      <c r="R175" s="61"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7.100000000000001" customHeight="1" x14ac:dyDescent="0.15">
      <c r="A176" s="55">
        <v>46279</v>
      </c>
      <c r="B176" s="56">
        <f>按股票分類!D23</f>
        <v>25307211</v>
      </c>
      <c r="C176" s="79">
        <f>B176/D176</f>
        <v>20.44140118590963</v>
      </c>
      <c r="D176" s="58">
        <v>1238037</v>
      </c>
      <c r="E176" s="58">
        <f>B176-B175</f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f>按股票分類!D15</f>
        <v>38709708</v>
      </c>
      <c r="L176" s="60">
        <v>105910.88</v>
      </c>
      <c r="M176" s="60">
        <v>733.57</v>
      </c>
      <c r="N176" s="61">
        <f t="shared" si="314"/>
        <v>1.0441401185909629</v>
      </c>
      <c r="O176" s="61" t="e">
        <f t="shared" si="315"/>
        <v>#REF!</v>
      </c>
      <c r="P176" s="61" t="e">
        <f t="shared" si="316"/>
        <v>#REF!</v>
      </c>
      <c r="Q176" s="61">
        <f t="shared" si="317"/>
        <v>0.60699954693033953</v>
      </c>
      <c r="R176" s="61">
        <f t="shared" si="318"/>
        <v>0.45344851498880567</v>
      </c>
      <c r="S176" s="83">
        <f>C176/MAX($C$7:C176)-1</f>
        <v>-0.14088692034920025</v>
      </c>
      <c r="T176" s="62">
        <f>K176/B176</f>
        <v>1.5295920202348652</v>
      </c>
      <c r="U176" s="62">
        <v>0</v>
      </c>
    </row>
    <row r="177" spans="1:23" ht="15" x14ac:dyDescent="0.15">
      <c r="A177" s="55"/>
      <c r="B177" s="56"/>
      <c r="C177" s="61"/>
      <c r="D177" s="56"/>
      <c r="F177" s="58"/>
      <c r="G177" s="58"/>
      <c r="H177" s="58"/>
      <c r="I177" s="59"/>
      <c r="J177" s="59"/>
      <c r="K177" s="59"/>
      <c r="L177" s="60"/>
      <c r="M177" s="84"/>
      <c r="N177" s="61"/>
      <c r="O177" s="61"/>
      <c r="P177" s="61"/>
      <c r="Q177" s="61"/>
      <c r="R177" s="61"/>
      <c r="S177" s="61"/>
      <c r="T177" s="62"/>
      <c r="U177" s="62"/>
    </row>
    <row r="178" spans="1:23" ht="15" x14ac:dyDescent="0.1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61"/>
      <c r="R178" s="61"/>
      <c r="S178" s="61"/>
      <c r="T178" s="62"/>
      <c r="U178" s="62"/>
    </row>
    <row r="179" spans="1:23" ht="15" x14ac:dyDescent="0.1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61"/>
      <c r="R179" s="61"/>
      <c r="S179" s="61"/>
      <c r="T179" s="62"/>
      <c r="U179" s="62"/>
    </row>
    <row r="180" spans="1:23" ht="15" x14ac:dyDescent="0.1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61"/>
      <c r="R180" s="61"/>
      <c r="S180" s="61"/>
      <c r="T180" s="62"/>
      <c r="U180" s="62"/>
    </row>
    <row r="181" spans="1:23" ht="15" x14ac:dyDescent="0.1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61"/>
      <c r="R181" s="61"/>
      <c r="S181" s="61"/>
      <c r="T181" s="62"/>
      <c r="U181" s="62"/>
    </row>
    <row r="182" spans="1:23" ht="15" x14ac:dyDescent="0.1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61"/>
      <c r="R182" s="61"/>
      <c r="S182" s="61"/>
      <c r="T182" s="62"/>
      <c r="U182" s="62"/>
    </row>
    <row r="183" spans="1:23" ht="15" x14ac:dyDescent="0.1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58"/>
      <c r="R183" s="61"/>
      <c r="S183" s="61"/>
      <c r="T183" s="62"/>
      <c r="U183" s="62"/>
    </row>
    <row r="184" spans="1:23" ht="15" x14ac:dyDescent="0.1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82"/>
      <c r="S184" s="61"/>
      <c r="T184" s="62"/>
      <c r="U184" s="62"/>
    </row>
    <row r="185" spans="1:23" ht="15" x14ac:dyDescent="0.1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58"/>
      <c r="R185" s="61"/>
      <c r="S185" s="61"/>
      <c r="T185" s="62"/>
      <c r="U185" s="62"/>
    </row>
    <row r="186" spans="1:23" ht="15" x14ac:dyDescent="0.1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58"/>
      <c r="R186" s="61" t="s">
        <v>21</v>
      </c>
      <c r="S186" s="61"/>
      <c r="T186" s="62"/>
      <c r="U186" s="62"/>
    </row>
    <row r="187" spans="1:23" ht="15" x14ac:dyDescent="0.1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</row>
    <row r="188" spans="1:23" ht="15" x14ac:dyDescent="0.1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58"/>
      <c r="R188" s="61"/>
      <c r="S188" s="61"/>
      <c r="T188" s="62"/>
      <c r="U188" s="62"/>
    </row>
    <row r="189" spans="1:23" ht="15" x14ac:dyDescent="0.1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58"/>
      <c r="R189" s="61"/>
      <c r="S189" s="61"/>
      <c r="T189" s="62"/>
      <c r="U189" s="62"/>
    </row>
    <row r="190" spans="1:23" ht="15" x14ac:dyDescent="0.1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3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  <c r="W191" s="103"/>
    </row>
    <row r="192" spans="1:23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59"/>
      <c r="O205" s="61"/>
      <c r="P205" s="61"/>
      <c r="Q205" s="61"/>
      <c r="R205" s="61"/>
      <c r="S205" s="61"/>
      <c r="T205" s="62"/>
      <c r="U205" s="62"/>
    </row>
    <row r="206" spans="1:21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</sheetData>
  <sheetProtection selectLockedCells="1"/>
  <phoneticPr fontId="1" type="noConversion"/>
  <conditionalFormatting sqref="S2:S5 S7:S176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7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6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6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77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7:T407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6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7:U407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T7:T176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T8:T176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T177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T177:T407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U8:U176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U177:U407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3"/>
  <sheetViews>
    <sheetView topLeftCell="B1" zoomScaleNormal="100" workbookViewId="0">
      <selection activeCell="E30" sqref="E30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95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86</v>
      </c>
      <c r="D3" s="125">
        <f>帳戶!F4</f>
        <v>9447100</v>
      </c>
      <c r="E3" s="69">
        <f>D3/$D$23</f>
        <v>0.37329676509987608</v>
      </c>
      <c r="F3" s="125">
        <f>帳戶!E4</f>
        <v>0</v>
      </c>
      <c r="G3" s="125">
        <v>9311900</v>
      </c>
      <c r="H3" s="94">
        <f t="shared" ref="H3:H4" si="0">D3-G3</f>
        <v>135200</v>
      </c>
      <c r="I3" s="92">
        <v>0</v>
      </c>
      <c r="J3" s="21">
        <f t="shared" ref="J3:J4" si="1">IFERROR(H3/G3,"n/a")</f>
        <v>1.4519056261343012E-2</v>
      </c>
      <c r="K3" s="29" t="s">
        <v>84</v>
      </c>
      <c r="L3" s="130"/>
      <c r="M3" s="130"/>
      <c r="N3" s="131"/>
      <c r="O3" s="98">
        <f t="shared" ref="O3" si="2">D3*0.1</f>
        <v>944710</v>
      </c>
    </row>
    <row r="4" spans="3:15" x14ac:dyDescent="0.15">
      <c r="C4" s="124" t="s">
        <v>89</v>
      </c>
      <c r="D4" s="125">
        <f>帳戶!F5</f>
        <v>8780100</v>
      </c>
      <c r="E4" s="69">
        <f>D4/$D$23</f>
        <v>0.34694064075255071</v>
      </c>
      <c r="F4" s="125">
        <f>帳戶!E5</f>
        <v>4475000</v>
      </c>
      <c r="G4" s="125">
        <v>8554100</v>
      </c>
      <c r="H4" s="94">
        <f t="shared" si="0"/>
        <v>226000</v>
      </c>
      <c r="I4" s="92">
        <v>4475000</v>
      </c>
      <c r="J4" s="21">
        <f t="shared" si="1"/>
        <v>2.6420079260237782E-2</v>
      </c>
      <c r="K4" s="29" t="s">
        <v>91</v>
      </c>
      <c r="L4" s="130"/>
      <c r="M4" s="130"/>
      <c r="N4" s="131"/>
      <c r="O4" s="98">
        <f t="shared" ref="O4" si="3">D4*0.1</f>
        <v>878010</v>
      </c>
    </row>
    <row r="5" spans="3:15" x14ac:dyDescent="0.15">
      <c r="C5" s="124" t="s">
        <v>90</v>
      </c>
      <c r="D5" s="125">
        <f>帳戶!F15</f>
        <v>5661500</v>
      </c>
      <c r="E5" s="69">
        <f>D5/$D$23</f>
        <v>0.22371094151781482</v>
      </c>
      <c r="F5" s="125">
        <f>帳戶!E15</f>
        <v>2897000</v>
      </c>
      <c r="G5" s="125">
        <v>5544500</v>
      </c>
      <c r="H5" s="94">
        <f>D5-G5</f>
        <v>117000</v>
      </c>
      <c r="I5" s="92">
        <v>2897000</v>
      </c>
      <c r="J5" s="21">
        <f>IFERROR(H5/G5,"n/a")</f>
        <v>2.1101992966002344E-2</v>
      </c>
      <c r="K5" s="29" t="s">
        <v>91</v>
      </c>
      <c r="L5" s="130"/>
      <c r="M5" s="130"/>
      <c r="N5" s="131"/>
      <c r="O5" s="98">
        <f>D5*0.1</f>
        <v>566150</v>
      </c>
    </row>
    <row r="6" spans="3:15" x14ac:dyDescent="0.15">
      <c r="C6" s="124" t="s">
        <v>96</v>
      </c>
      <c r="D6" s="125">
        <f>帳戶!F7</f>
        <v>4928000</v>
      </c>
      <c r="E6" s="69">
        <f>D6/$D$23</f>
        <v>0.19472710762161821</v>
      </c>
      <c r="F6" s="125">
        <f>帳戶!E7</f>
        <v>2899000</v>
      </c>
      <c r="G6" s="125">
        <v>0</v>
      </c>
      <c r="H6" s="94">
        <f>D6-G6</f>
        <v>4928000</v>
      </c>
      <c r="I6" s="92">
        <v>0</v>
      </c>
      <c r="J6" s="21" t="str">
        <f>IFERROR(H6/G6,"n/a")</f>
        <v>n/a</v>
      </c>
      <c r="K6" s="29" t="s">
        <v>95</v>
      </c>
      <c r="L6" s="130"/>
      <c r="M6" s="130"/>
      <c r="N6" s="131"/>
      <c r="O6" s="98">
        <f>D6*0.1</f>
        <v>492800</v>
      </c>
    </row>
    <row r="7" spans="3:15" x14ac:dyDescent="0.15">
      <c r="C7" s="124" t="s">
        <v>93</v>
      </c>
      <c r="D7" s="125">
        <f>帳戶!F14</f>
        <v>2834650</v>
      </c>
      <c r="E7" s="69">
        <f>D7/$D$23</f>
        <v>0.11200957703320212</v>
      </c>
      <c r="F7" s="125">
        <f>帳戶!E14</f>
        <v>0</v>
      </c>
      <c r="G7" s="125">
        <v>2884490</v>
      </c>
      <c r="H7" s="94">
        <f t="shared" ref="H7" si="4">D7-G7</f>
        <v>-49840</v>
      </c>
      <c r="I7" s="92">
        <v>0</v>
      </c>
      <c r="J7" s="21">
        <f t="shared" ref="J7" si="5">IFERROR(H7/G7,"n/a")</f>
        <v>-1.7278617710583154E-2</v>
      </c>
      <c r="K7" s="29" t="s">
        <v>91</v>
      </c>
      <c r="L7" s="130"/>
      <c r="M7" s="130"/>
      <c r="N7" s="131"/>
      <c r="O7" s="98">
        <f>D7*0.1</f>
        <v>283465</v>
      </c>
    </row>
    <row r="8" spans="3:15" x14ac:dyDescent="0.15">
      <c r="C8" s="124" t="s">
        <v>112</v>
      </c>
      <c r="D8" s="125">
        <f>帳戶!F13</f>
        <v>2691200</v>
      </c>
      <c r="E8" s="69">
        <f>D8/$D$23</f>
        <v>0.10634123214920838</v>
      </c>
      <c r="F8" s="125">
        <f>帳戶!E13</f>
        <v>1602000</v>
      </c>
      <c r="G8" s="125">
        <v>2685400</v>
      </c>
      <c r="H8" s="94">
        <f>D8-G8</f>
        <v>5800</v>
      </c>
      <c r="I8" s="92">
        <v>1602000</v>
      </c>
      <c r="J8" s="21">
        <f>IFERROR(H8/G8,"n/a")</f>
        <v>2.1598272138228943E-3</v>
      </c>
      <c r="K8" s="29" t="s">
        <v>95</v>
      </c>
      <c r="L8" s="130"/>
      <c r="M8" s="130"/>
      <c r="N8" s="131"/>
      <c r="O8" s="98">
        <f>D8*0.1</f>
        <v>269120</v>
      </c>
    </row>
    <row r="9" spans="3:15" x14ac:dyDescent="0.15">
      <c r="C9" s="124" t="s">
        <v>111</v>
      </c>
      <c r="D9" s="125">
        <f>帳戶!F12</f>
        <v>2601300</v>
      </c>
      <c r="E9" s="69">
        <f>D9/$D$23</f>
        <v>0.10278888495456888</v>
      </c>
      <c r="F9" s="125">
        <f>帳戶!E12</f>
        <v>1530000</v>
      </c>
      <c r="G9" s="125">
        <v>2537500</v>
      </c>
      <c r="H9" s="94">
        <f>D9-G9</f>
        <v>63800</v>
      </c>
      <c r="I9" s="92">
        <v>1530000</v>
      </c>
      <c r="J9" s="21">
        <f>IFERROR(H9/G9,"n/a")</f>
        <v>2.5142857142857144E-2</v>
      </c>
      <c r="K9" s="29" t="s">
        <v>95</v>
      </c>
      <c r="L9" s="130"/>
      <c r="M9" s="130"/>
      <c r="N9" s="131"/>
      <c r="O9" s="98">
        <f>D9*0.1</f>
        <v>260130</v>
      </c>
    </row>
    <row r="10" spans="3:15" x14ac:dyDescent="0.15">
      <c r="C10" s="124" t="s">
        <v>99</v>
      </c>
      <c r="D10" s="125">
        <f>帳戶!F8</f>
        <v>1765858</v>
      </c>
      <c r="E10" s="69">
        <f>D10/$D$23</f>
        <v>6.9776871106025873E-2</v>
      </c>
      <c r="F10" s="125">
        <v>0</v>
      </c>
      <c r="G10" s="125">
        <v>1762390</v>
      </c>
      <c r="H10" s="94">
        <f>D10-G10</f>
        <v>3468</v>
      </c>
      <c r="I10" s="92">
        <v>0</v>
      </c>
      <c r="J10" s="21">
        <f>IFERROR(H10/G10,"n/a")</f>
        <v>1.9677823864184432E-3</v>
      </c>
      <c r="K10" s="29" t="s">
        <v>97</v>
      </c>
      <c r="L10" s="130"/>
      <c r="M10" s="130"/>
      <c r="N10" s="131"/>
      <c r="O10" s="98">
        <f t="shared" ref="O10" si="6">D10*0.1</f>
        <v>176585.80000000002</v>
      </c>
    </row>
    <row r="11" spans="3:15" x14ac:dyDescent="0.15">
      <c r="C11" s="124" t="s">
        <v>110</v>
      </c>
      <c r="D11" s="125">
        <f>帳戶!F11</f>
        <v>0</v>
      </c>
      <c r="E11" s="69">
        <f>D11/$D$23</f>
        <v>0</v>
      </c>
      <c r="F11" s="125">
        <f>帳戶!E11</f>
        <v>0</v>
      </c>
      <c r="G11" s="125">
        <v>2350000</v>
      </c>
      <c r="H11" s="94">
        <f>D11-G11</f>
        <v>-2350000</v>
      </c>
      <c r="I11" s="92">
        <v>1187000</v>
      </c>
      <c r="J11" s="21">
        <f>IFERROR(H11/G11,"n/a")</f>
        <v>-1</v>
      </c>
      <c r="K11" s="29" t="s">
        <v>95</v>
      </c>
      <c r="L11" s="130"/>
      <c r="M11" s="130"/>
      <c r="N11" s="131"/>
      <c r="O11" s="98">
        <f>D11*0.1</f>
        <v>0</v>
      </c>
    </row>
    <row r="12" spans="3:15" x14ac:dyDescent="0.15">
      <c r="C12" s="124" t="s">
        <v>109</v>
      </c>
      <c r="D12" s="125">
        <f>帳戶!F10</f>
        <v>0</v>
      </c>
      <c r="E12" s="69">
        <f>D12/$D$23</f>
        <v>0</v>
      </c>
      <c r="F12" s="125">
        <f>帳戶!E10</f>
        <v>0</v>
      </c>
      <c r="G12" s="125">
        <v>1392000</v>
      </c>
      <c r="H12" s="94">
        <f t="shared" ref="H12" si="7">D12-G12</f>
        <v>-1392000</v>
      </c>
      <c r="I12" s="92">
        <v>730000</v>
      </c>
      <c r="J12" s="21">
        <f t="shared" ref="J12" si="8">IFERROR(H12/G12,"n/a")</f>
        <v>-1</v>
      </c>
      <c r="K12" s="29" t="s">
        <v>95</v>
      </c>
      <c r="L12" s="130"/>
      <c r="M12" s="130"/>
      <c r="N12" s="131"/>
      <c r="O12" s="98">
        <f>D12*0.1</f>
        <v>0</v>
      </c>
    </row>
    <row r="13" spans="3:15" x14ac:dyDescent="0.15">
      <c r="C13" s="124" t="s">
        <v>108</v>
      </c>
      <c r="D13" s="125">
        <f>帳戶!F9</f>
        <v>0</v>
      </c>
      <c r="E13" s="69">
        <f>D13/$D$23</f>
        <v>0</v>
      </c>
      <c r="F13" s="125">
        <f>帳戶!E9</f>
        <v>0</v>
      </c>
      <c r="G13" s="125">
        <v>1171800</v>
      </c>
      <c r="H13" s="94">
        <f t="shared" ref="H13" si="9">D13-G13</f>
        <v>-1171800</v>
      </c>
      <c r="I13" s="92">
        <v>726000</v>
      </c>
      <c r="J13" s="21">
        <f t="shared" ref="J13" si="10">IFERROR(H13/G13,"n/a")</f>
        <v>-1</v>
      </c>
      <c r="K13" s="29" t="s">
        <v>95</v>
      </c>
      <c r="L13" s="130"/>
      <c r="M13" s="130"/>
      <c r="N13" s="131"/>
      <c r="O13" s="98">
        <f t="shared" ref="O13" si="11">D13*0.1</f>
        <v>0</v>
      </c>
    </row>
    <row r="14" spans="3:15" x14ac:dyDescent="0.15">
      <c r="C14" s="124" t="s">
        <v>101</v>
      </c>
      <c r="D14" s="125">
        <f>帳戶!F6</f>
        <v>0</v>
      </c>
      <c r="E14" s="69">
        <f>D14/$D$23</f>
        <v>0</v>
      </c>
      <c r="F14" s="125">
        <f>帳戶!E6</f>
        <v>0</v>
      </c>
      <c r="G14" s="125">
        <v>0</v>
      </c>
      <c r="H14" s="94">
        <f>D14-G14</f>
        <v>0</v>
      </c>
      <c r="I14" s="92">
        <v>0</v>
      </c>
      <c r="J14" s="21" t="str">
        <f>IFERROR(H14/G14,"n/a")</f>
        <v>n/a</v>
      </c>
      <c r="K14" s="29" t="s">
        <v>102</v>
      </c>
      <c r="L14" s="130"/>
      <c r="M14" s="130"/>
      <c r="N14" s="131"/>
      <c r="O14" s="98">
        <f>D14*0.1</f>
        <v>0</v>
      </c>
    </row>
    <row r="15" spans="3:15" ht="15.75" thickBot="1" x14ac:dyDescent="0.2">
      <c r="C15" s="18" t="s">
        <v>30</v>
      </c>
      <c r="D15" s="90">
        <f>SUM(D3:D14)</f>
        <v>38709708</v>
      </c>
      <c r="E15" s="118">
        <f>D15/$D$23</f>
        <v>1.5295920202348652</v>
      </c>
      <c r="F15" s="90">
        <f>SUM(F3:F14)</f>
        <v>13403000</v>
      </c>
      <c r="G15" s="90">
        <f>SUM(G3:G14)</f>
        <v>38194080</v>
      </c>
      <c r="H15" s="90">
        <f>SUM(H3:H14)</f>
        <v>515628</v>
      </c>
      <c r="I15" s="90">
        <f>SUM(I3:I14)</f>
        <v>13147000</v>
      </c>
      <c r="J15" s="86">
        <f t="shared" ref="J15:J17" si="12">IFERROR(H15/G15,"n/a")</f>
        <v>1.350020736197861E-2</v>
      </c>
      <c r="K15" s="86"/>
      <c r="L15" s="86"/>
      <c r="M15" s="86"/>
      <c r="N15" s="86"/>
      <c r="O15" s="126">
        <f>SUM(O3:O14)</f>
        <v>3870970.8</v>
      </c>
    </row>
    <row r="16" spans="3:15" ht="16.5" customHeight="1" x14ac:dyDescent="0.15">
      <c r="C16" s="87"/>
      <c r="D16" s="104">
        <v>0</v>
      </c>
      <c r="E16" s="106">
        <f>D16/$D$23</f>
        <v>0</v>
      </c>
      <c r="F16" s="88">
        <v>0</v>
      </c>
      <c r="G16" s="104">
        <v>0</v>
      </c>
      <c r="H16" s="96">
        <f>D16-G16</f>
        <v>0</v>
      </c>
      <c r="I16" s="88">
        <v>0</v>
      </c>
      <c r="J16" s="89" t="str">
        <f t="shared" si="12"/>
        <v>n/a</v>
      </c>
      <c r="K16" s="107"/>
      <c r="L16" s="107"/>
      <c r="M16" s="107"/>
      <c r="N16" s="107"/>
      <c r="O16" s="100">
        <f>D16*0.1</f>
        <v>0</v>
      </c>
    </row>
    <row r="17" spans="3:15" ht="15.75" thickBot="1" x14ac:dyDescent="0.2">
      <c r="C17" s="18" t="s">
        <v>30</v>
      </c>
      <c r="D17" s="90">
        <f>SUM(D16:D16)</f>
        <v>0</v>
      </c>
      <c r="E17" s="90"/>
      <c r="F17" s="20"/>
      <c r="G17" s="90">
        <f>SUM(G16:G16)</f>
        <v>0</v>
      </c>
      <c r="H17" s="95">
        <f>D17-G17</f>
        <v>0</v>
      </c>
      <c r="I17" s="19"/>
      <c r="J17" s="86" t="str">
        <f t="shared" si="12"/>
        <v>n/a</v>
      </c>
      <c r="K17" s="86"/>
      <c r="L17" s="86"/>
      <c r="M17" s="86"/>
      <c r="N17" s="86"/>
      <c r="O17" s="99">
        <f>SUM(0)</f>
        <v>0</v>
      </c>
    </row>
    <row r="18" spans="3:15" x14ac:dyDescent="0.15">
      <c r="C18" s="108" t="s">
        <v>31</v>
      </c>
      <c r="D18" s="109">
        <f ca="1">D18-帳戶!F18</f>
        <v>0</v>
      </c>
      <c r="E18" s="109"/>
      <c r="F18" s="110"/>
      <c r="G18" s="109">
        <v>0</v>
      </c>
      <c r="H18" s="111"/>
      <c r="I18" s="109"/>
      <c r="J18" s="110"/>
      <c r="K18" s="110"/>
      <c r="L18" s="110"/>
      <c r="M18" s="110"/>
      <c r="N18" s="110"/>
      <c r="O18" s="112"/>
    </row>
    <row r="19" spans="3:15" x14ac:dyDescent="0.15">
      <c r="C19" s="71" t="s">
        <v>32</v>
      </c>
      <c r="D19" s="91">
        <f>帳戶!C24</f>
        <v>503</v>
      </c>
      <c r="E19" s="69">
        <f>D19/$D$23</f>
        <v>1.9875757941086435E-5</v>
      </c>
      <c r="F19" s="69"/>
      <c r="G19" s="91">
        <v>38912</v>
      </c>
      <c r="H19" s="94">
        <f>D19-G19</f>
        <v>-38409</v>
      </c>
      <c r="I19" s="22"/>
      <c r="J19" s="70">
        <f>H19/G19</f>
        <v>-0.98707339638157898</v>
      </c>
      <c r="K19" s="29" t="s">
        <v>32</v>
      </c>
      <c r="L19" s="29"/>
      <c r="M19" s="29"/>
      <c r="N19" s="29"/>
      <c r="O19" s="98"/>
    </row>
    <row r="20" spans="3:15" x14ac:dyDescent="0.15">
      <c r="C20" s="71" t="s">
        <v>68</v>
      </c>
      <c r="D20" s="91">
        <f>期貨!C4</f>
        <v>0</v>
      </c>
      <c r="E20" s="69">
        <f>D20/$D$23</f>
        <v>0</v>
      </c>
      <c r="F20" s="69"/>
      <c r="G20" s="91">
        <v>0</v>
      </c>
      <c r="H20" s="94">
        <f>D20-G20</f>
        <v>0</v>
      </c>
      <c r="I20" s="22"/>
      <c r="J20" s="70" t="e">
        <f>H20/G20</f>
        <v>#DIV/0!</v>
      </c>
      <c r="K20" s="29"/>
      <c r="L20" s="29"/>
      <c r="M20" s="29"/>
      <c r="N20" s="29"/>
      <c r="O20" s="98"/>
    </row>
    <row r="21" spans="3:15" x14ac:dyDescent="0.15">
      <c r="C21" s="71" t="s">
        <v>52</v>
      </c>
      <c r="D21" s="91">
        <f>帳戶!C25</f>
        <v>0</v>
      </c>
      <c r="E21" s="69">
        <f>D21/$D$23</f>
        <v>0</v>
      </c>
      <c r="F21" s="69"/>
      <c r="G21" s="91">
        <v>0</v>
      </c>
      <c r="H21" s="94">
        <f>D21-G21</f>
        <v>0</v>
      </c>
      <c r="I21" s="22"/>
      <c r="J21" s="70" t="e">
        <f>H21/G21</f>
        <v>#DIV/0!</v>
      </c>
      <c r="K21" s="29" t="s">
        <v>34</v>
      </c>
      <c r="L21" s="29"/>
      <c r="M21" s="29"/>
      <c r="N21" s="29"/>
      <c r="O21" s="98"/>
    </row>
    <row r="22" spans="3:15" ht="15.75" thickBot="1" x14ac:dyDescent="0.2">
      <c r="C22" s="113" t="s">
        <v>31</v>
      </c>
      <c r="D22" s="114">
        <f>D15+D19-F15-帳戶!F27+D21</f>
        <v>0</v>
      </c>
      <c r="E22" s="114"/>
      <c r="F22" s="115"/>
      <c r="G22" s="114">
        <v>0</v>
      </c>
      <c r="H22" s="116"/>
      <c r="I22" s="114"/>
      <c r="J22" s="115"/>
      <c r="K22" s="115"/>
      <c r="L22" s="115"/>
      <c r="M22" s="115"/>
      <c r="N22" s="115"/>
      <c r="O22" s="117"/>
    </row>
    <row r="23" spans="3:15" ht="15.75" thickBot="1" x14ac:dyDescent="0.2">
      <c r="C23" s="18" t="s">
        <v>30</v>
      </c>
      <c r="D23" s="90">
        <f>D15+D19-F15+D21+D20</f>
        <v>25307211</v>
      </c>
      <c r="E23" s="118">
        <f>D23/$D$23</f>
        <v>1</v>
      </c>
      <c r="F23" s="20"/>
      <c r="G23" s="90">
        <f>G15+G19-I15+G21+G20</f>
        <v>25085992</v>
      </c>
      <c r="H23" s="95">
        <f t="shared" ref="H23" si="13">D23-G23</f>
        <v>221219</v>
      </c>
      <c r="I23" s="19"/>
      <c r="J23" s="20">
        <f>H23/G23</f>
        <v>8.8184274315323066E-3</v>
      </c>
      <c r="K23" s="20"/>
      <c r="L23" s="20"/>
      <c r="M23" s="20"/>
      <c r="N23" s="20"/>
      <c r="O23" s="99"/>
    </row>
    <row r="24" spans="3:15" x14ac:dyDescent="0.15">
      <c r="C24" s="119" t="s">
        <v>35</v>
      </c>
      <c r="D24" s="120">
        <v>25085992</v>
      </c>
      <c r="E24" s="23"/>
      <c r="G24" s="23"/>
      <c r="I24" s="26"/>
      <c r="O24" s="97"/>
    </row>
    <row r="25" spans="3:15" ht="18.75" customHeight="1" x14ac:dyDescent="0.15">
      <c r="C25" s="11" t="s">
        <v>36</v>
      </c>
      <c r="D25" s="93">
        <f>D23-D24</f>
        <v>221219</v>
      </c>
      <c r="E25" s="105"/>
      <c r="F25" s="24"/>
      <c r="G25" s="23"/>
      <c r="H25" s="23"/>
      <c r="K25" s="24"/>
      <c r="L25" s="24"/>
      <c r="M25" s="24"/>
      <c r="N25" s="24"/>
      <c r="O25" s="97"/>
    </row>
    <row r="26" spans="3:15" ht="15.75" thickBot="1" x14ac:dyDescent="0.2">
      <c r="C26" s="12" t="s">
        <v>37</v>
      </c>
      <c r="D26" s="13">
        <f>D25/D24</f>
        <v>8.8184274315323066E-3</v>
      </c>
      <c r="E26" s="23"/>
      <c r="F26" s="24"/>
      <c r="G26" s="23"/>
      <c r="H26" s="24"/>
      <c r="O26" s="97"/>
    </row>
    <row r="27" spans="3:15" x14ac:dyDescent="0.15">
      <c r="D27" s="31"/>
      <c r="E27" s="31"/>
      <c r="F27" s="30"/>
      <c r="G27" s="81"/>
      <c r="H27" s="81"/>
      <c r="I27" s="17"/>
      <c r="J27" s="17"/>
      <c r="K27" s="17"/>
      <c r="L27" s="17"/>
      <c r="M27" s="17"/>
      <c r="N27" s="17"/>
    </row>
    <row r="28" spans="3:15" x14ac:dyDescent="0.15">
      <c r="D28" s="25"/>
      <c r="E28" s="25"/>
    </row>
    <row r="30" spans="3:15" ht="17.25" customHeight="1" x14ac:dyDescent="0.15"/>
    <row r="32" spans="3:15" x14ac:dyDescent="0.15">
      <c r="G32" t="s">
        <v>21</v>
      </c>
    </row>
    <row r="33" spans="2:2" x14ac:dyDescent="0.15">
      <c r="B33" t="s">
        <v>53</v>
      </c>
    </row>
  </sheetData>
  <phoneticPr fontId="1" type="noConversion"/>
  <conditionalFormatting sqref="D2"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7">
    <cfRule type="dataBar" priority="147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8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8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8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8">
    <cfRule type="dataBar" priority="1478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3">
    <cfRule type="dataBar" priority="147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5">
    <cfRule type="dataBar" priority="147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6">
    <cfRule type="dataBar" priority="147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{AFEBCB78-5BAC-4320-85E3-FD99AF678EBF}</x14:id>
        </ext>
      </extLst>
    </cfRule>
  </conditionalFormatting>
  <conditionalFormatting sqref="E18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9"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22:E24"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6"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6 F22:F23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20:F25"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20:F26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20:F26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22:F23 F26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22:F23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22:F24 F26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22:F24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4"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6"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E3:E17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E3:E18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E3:E25</xm:sqref>
        </x14:conditionalFormatting>
        <x14:conditionalFormatting xmlns:xm="http://schemas.microsoft.com/office/excel/2006/main">
          <x14:cfRule type="dataBar" id="{AFEBCB78-5BAC-4320-85E3-FD99AF678E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E22:E24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F26 F22:F23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F20:F25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F20:F26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F20:F26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F22:F23 F26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F22:F24 F26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F22:F24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50"/>
  <sheetViews>
    <sheetView topLeftCell="B1" zoomScaleNormal="100" workbookViewId="0">
      <selection activeCell="F4" sqref="F4:F15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55900</v>
      </c>
      <c r="D4" s="3">
        <v>169</v>
      </c>
      <c r="E4" s="2">
        <v>0</v>
      </c>
      <c r="F4" s="2">
        <f t="shared" ref="F4" si="0">C4*D4</f>
        <v>9447100</v>
      </c>
    </row>
    <row r="5" spans="2:6" x14ac:dyDescent="0.15">
      <c r="B5" s="7" t="s">
        <v>87</v>
      </c>
      <c r="C5" s="2">
        <v>226000</v>
      </c>
      <c r="D5" s="3">
        <v>38.85</v>
      </c>
      <c r="E5" s="2">
        <f>2413000+745000+1317000</f>
        <v>4475000</v>
      </c>
      <c r="F5" s="2">
        <f t="shared" ref="F5:F15" si="1">C5*D5</f>
        <v>8780100</v>
      </c>
    </row>
    <row r="6" spans="2:6" x14ac:dyDescent="0.15">
      <c r="B6" s="7" t="s">
        <v>100</v>
      </c>
      <c r="C6" s="2">
        <v>0</v>
      </c>
      <c r="D6" s="3">
        <f>VLOOKUP(B6,'[1]元大(自己)'!$B$4:$D$17,3,0)</f>
        <v>4556.29</v>
      </c>
      <c r="E6" s="2">
        <v>0</v>
      </c>
      <c r="F6" s="2">
        <f t="shared" ref="F6" si="2">C6*D6</f>
        <v>0</v>
      </c>
    </row>
    <row r="7" spans="2:6" x14ac:dyDescent="0.15">
      <c r="B7" s="7" t="s">
        <v>94</v>
      </c>
      <c r="C7" s="2">
        <v>32000</v>
      </c>
      <c r="D7" s="3">
        <v>154</v>
      </c>
      <c r="E7" s="2">
        <v>2899000</v>
      </c>
      <c r="F7" s="2">
        <f t="shared" si="1"/>
        <v>4928000</v>
      </c>
    </row>
    <row r="8" spans="2:6" x14ac:dyDescent="0.15">
      <c r="B8" s="7" t="s">
        <v>98</v>
      </c>
      <c r="C8" s="2">
        <v>2839</v>
      </c>
      <c r="D8" s="3">
        <v>622</v>
      </c>
      <c r="E8" s="2">
        <v>0</v>
      </c>
      <c r="F8" s="2">
        <f t="shared" ref="F8" si="3">C8*D8</f>
        <v>1765858</v>
      </c>
    </row>
    <row r="9" spans="2:6" x14ac:dyDescent="0.15">
      <c r="B9" s="7" t="s">
        <v>103</v>
      </c>
      <c r="C9" s="2">
        <v>0</v>
      </c>
      <c r="D9" s="3">
        <f>VLOOKUP(B9,'[1]元大(自己)'!$B$4:$D$17,3,0)</f>
        <v>83.7</v>
      </c>
      <c r="E9" s="2">
        <v>0</v>
      </c>
      <c r="F9" s="2">
        <f t="shared" ref="F9:F13" si="4">C9*D9</f>
        <v>0</v>
      </c>
    </row>
    <row r="10" spans="2:6" x14ac:dyDescent="0.15">
      <c r="B10" s="7" t="s">
        <v>104</v>
      </c>
      <c r="C10" s="2">
        <v>0</v>
      </c>
      <c r="D10" s="3">
        <f>VLOOKUP(B10,'[1]元大(自己)'!$B$4:$D$17,3,0)</f>
        <v>464</v>
      </c>
      <c r="E10" s="2">
        <v>0</v>
      </c>
      <c r="F10" s="2">
        <f t="shared" si="4"/>
        <v>0</v>
      </c>
    </row>
    <row r="11" spans="2:6" x14ac:dyDescent="0.15">
      <c r="B11" s="7" t="s">
        <v>105</v>
      </c>
      <c r="C11" s="2">
        <v>0</v>
      </c>
      <c r="D11" s="3">
        <f>VLOOKUP(B11,'[1]元大(自己)'!$B$4:$D$17,3,0)</f>
        <v>235</v>
      </c>
      <c r="E11" s="2">
        <v>0</v>
      </c>
      <c r="F11" s="2">
        <f t="shared" si="4"/>
        <v>0</v>
      </c>
    </row>
    <row r="12" spans="2:6" x14ac:dyDescent="0.15">
      <c r="B12" s="7" t="s">
        <v>106</v>
      </c>
      <c r="C12" s="2">
        <v>58000</v>
      </c>
      <c r="D12" s="3">
        <v>44.85</v>
      </c>
      <c r="E12" s="2">
        <f>924000+606000</f>
        <v>1530000</v>
      </c>
      <c r="F12" s="2">
        <f t="shared" si="4"/>
        <v>2601300</v>
      </c>
    </row>
    <row r="13" spans="2:6" x14ac:dyDescent="0.15">
      <c r="B13" s="7" t="s">
        <v>107</v>
      </c>
      <c r="C13" s="2">
        <v>58000</v>
      </c>
      <c r="D13" s="3">
        <v>46.4</v>
      </c>
      <c r="E13" s="2">
        <f>912000+690000</f>
        <v>1602000</v>
      </c>
      <c r="F13" s="2">
        <f t="shared" si="4"/>
        <v>2691200</v>
      </c>
    </row>
    <row r="14" spans="2:6" x14ac:dyDescent="0.15">
      <c r="B14" s="7" t="s">
        <v>92</v>
      </c>
      <c r="C14" s="2">
        <v>1246</v>
      </c>
      <c r="D14" s="3">
        <v>2275</v>
      </c>
      <c r="E14" s="2">
        <v>0</v>
      </c>
      <c r="F14" s="2">
        <f t="shared" si="1"/>
        <v>2834650</v>
      </c>
    </row>
    <row r="15" spans="2:6" x14ac:dyDescent="0.15">
      <c r="B15" s="7" t="s">
        <v>88</v>
      </c>
      <c r="C15" s="2">
        <v>130000</v>
      </c>
      <c r="D15" s="3">
        <v>43.55</v>
      </c>
      <c r="E15" s="2">
        <f>2408000+489000</f>
        <v>2897000</v>
      </c>
      <c r="F15" s="2">
        <f t="shared" si="1"/>
        <v>5661500</v>
      </c>
    </row>
    <row r="16" spans="2:6" x14ac:dyDescent="0.15">
      <c r="B16" s="7"/>
      <c r="C16" s="2"/>
      <c r="D16" s="32"/>
      <c r="E16" s="3"/>
      <c r="F16" s="3"/>
    </row>
    <row r="17" spans="2:13" x14ac:dyDescent="0.15">
      <c r="C17" s="85"/>
    </row>
    <row r="18" spans="2:13" x14ac:dyDescent="0.15">
      <c r="D18" s="4" t="s">
        <v>57</v>
      </c>
      <c r="E18" s="9">
        <f>SUM(E4:E15)</f>
        <v>13403000</v>
      </c>
      <c r="F18" s="9">
        <f>SUM(F4:F15)</f>
        <v>38709708</v>
      </c>
    </row>
    <row r="19" spans="2:13" ht="15.75" thickBot="1" x14ac:dyDescent="0.2"/>
    <row r="20" spans="2:13" x14ac:dyDescent="0.15">
      <c r="B20" s="138" t="s">
        <v>32</v>
      </c>
      <c r="C20" s="139"/>
      <c r="D20" s="5"/>
      <c r="E20" s="5"/>
      <c r="F20" s="5"/>
    </row>
    <row r="21" spans="2:13" x14ac:dyDescent="0.15">
      <c r="B21" s="72" t="s">
        <v>43</v>
      </c>
      <c r="C21" s="8">
        <v>949</v>
      </c>
      <c r="E21" s="132">
        <v>31.9</v>
      </c>
      <c r="F21" s="5"/>
    </row>
    <row r="22" spans="2:13" x14ac:dyDescent="0.15">
      <c r="B22" s="72" t="s">
        <v>44</v>
      </c>
      <c r="C22" s="8">
        <v>37963</v>
      </c>
      <c r="E22" s="5"/>
      <c r="F22" s="5"/>
    </row>
    <row r="23" spans="2:13" x14ac:dyDescent="0.15">
      <c r="B23" s="72" t="s">
        <v>45</v>
      </c>
      <c r="C23" s="8">
        <v>-38409</v>
      </c>
      <c r="E23" s="5"/>
      <c r="F23" s="5"/>
    </row>
    <row r="24" spans="2:13" ht="15.75" thickBot="1" x14ac:dyDescent="0.2">
      <c r="B24" s="73" t="s">
        <v>46</v>
      </c>
      <c r="C24" s="74">
        <f>SUM(C21:C23)</f>
        <v>503</v>
      </c>
      <c r="F24" s="129">
        <f>F27+期貨!C4</f>
        <v>25307211</v>
      </c>
    </row>
    <row r="25" spans="2:13" ht="15.75" thickBot="1" x14ac:dyDescent="0.2">
      <c r="B25" s="75" t="s">
        <v>33</v>
      </c>
      <c r="C25" s="76">
        <v>0</v>
      </c>
      <c r="F25" s="23"/>
    </row>
    <row r="27" spans="2:13" x14ac:dyDescent="0.15">
      <c r="D27" s="6" t="s">
        <v>47</v>
      </c>
      <c r="E27" s="6"/>
      <c r="F27" s="10">
        <f>F18+C24+C25-E18</f>
        <v>25307211</v>
      </c>
    </row>
    <row r="29" spans="2:13" x14ac:dyDescent="0.15">
      <c r="F29" s="129"/>
    </row>
    <row r="30" spans="2:13" x14ac:dyDescent="0.15">
      <c r="F30" s="23"/>
    </row>
    <row r="31" spans="2:13" x14ac:dyDescent="0.15">
      <c r="D31" s="121">
        <f>SUM(D32:D47)</f>
        <v>0.99969000000000019</v>
      </c>
      <c r="H31" s="23">
        <f>(F27+期貨!C4)*0.67</f>
        <v>16955831.370000001</v>
      </c>
      <c r="K31" t="s">
        <v>60</v>
      </c>
      <c r="L31" t="s">
        <v>61</v>
      </c>
      <c r="M31" t="s">
        <v>62</v>
      </c>
    </row>
    <row r="32" spans="2:13" x14ac:dyDescent="0.15">
      <c r="B32">
        <v>8299</v>
      </c>
      <c r="C32" t="s">
        <v>69</v>
      </c>
      <c r="D32" s="122">
        <v>0.2127</v>
      </c>
      <c r="F32" s="122">
        <v>0.2127</v>
      </c>
      <c r="G32">
        <v>2670</v>
      </c>
      <c r="H32" s="123">
        <f>$H$31*F32/G32</f>
        <v>1350.7510608235957</v>
      </c>
      <c r="I32">
        <v>1.3</v>
      </c>
      <c r="J32">
        <f>I32*G32</f>
        <v>3471</v>
      </c>
      <c r="K32">
        <v>1.3</v>
      </c>
      <c r="L32">
        <v>0</v>
      </c>
      <c r="M32">
        <v>0</v>
      </c>
    </row>
    <row r="33" spans="2:13" x14ac:dyDescent="0.15">
      <c r="B33">
        <v>2451</v>
      </c>
      <c r="C33" t="s">
        <v>70</v>
      </c>
      <c r="D33" s="122">
        <v>8.5079999999999989E-2</v>
      </c>
      <c r="F33" s="122">
        <v>8.5079999999999989E-2</v>
      </c>
      <c r="G33">
        <v>343.5</v>
      </c>
      <c r="H33" s="123">
        <f t="shared" ref="H33:H47" si="5">$H$31*F33/G33</f>
        <v>4199.7150886742356</v>
      </c>
      <c r="I33">
        <v>4</v>
      </c>
      <c r="J33">
        <f t="shared" ref="J33:J47" si="6">I33*G33</f>
        <v>1374</v>
      </c>
      <c r="K33">
        <v>4</v>
      </c>
      <c r="L33">
        <v>0</v>
      </c>
      <c r="M33">
        <v>0</v>
      </c>
    </row>
    <row r="34" spans="2:13" x14ac:dyDescent="0.15">
      <c r="B34">
        <v>5289</v>
      </c>
      <c r="C34" t="s">
        <v>63</v>
      </c>
      <c r="D34" s="122">
        <v>8.5079999999999989E-2</v>
      </c>
      <c r="F34" s="122">
        <v>8.5079999999999989E-2</v>
      </c>
      <c r="G34">
        <v>1760</v>
      </c>
      <c r="H34" s="123">
        <f t="shared" si="5"/>
        <v>819.6603028179544</v>
      </c>
      <c r="I34">
        <v>1</v>
      </c>
      <c r="J34">
        <f t="shared" si="6"/>
        <v>1760</v>
      </c>
      <c r="K34">
        <v>1</v>
      </c>
      <c r="L34">
        <v>0</v>
      </c>
      <c r="M34">
        <v>0</v>
      </c>
    </row>
    <row r="35" spans="2:13" x14ac:dyDescent="0.15">
      <c r="B35">
        <v>3135</v>
      </c>
      <c r="C35" t="s">
        <v>71</v>
      </c>
      <c r="D35" s="122">
        <v>4.2539999999999994E-2</v>
      </c>
      <c r="F35" s="122">
        <v>4.2539999999999994E-2</v>
      </c>
      <c r="G35">
        <v>194.5</v>
      </c>
      <c r="H35" s="123">
        <f t="shared" si="5"/>
        <v>3708.4887736750638</v>
      </c>
      <c r="I35">
        <v>4</v>
      </c>
      <c r="J35">
        <f t="shared" si="6"/>
        <v>778</v>
      </c>
      <c r="K35">
        <v>4</v>
      </c>
      <c r="L35">
        <v>0</v>
      </c>
      <c r="M35">
        <v>0</v>
      </c>
    </row>
    <row r="36" spans="2:13" x14ac:dyDescent="0.15">
      <c r="B36">
        <v>8271</v>
      </c>
      <c r="C36" t="s">
        <v>72</v>
      </c>
      <c r="D36" s="122">
        <v>4.2539999999999994E-2</v>
      </c>
      <c r="F36" s="122">
        <v>4.2539999999999994E-2</v>
      </c>
      <c r="G36">
        <v>256</v>
      </c>
      <c r="H36" s="123">
        <f t="shared" si="5"/>
        <v>2817.5822909367184</v>
      </c>
      <c r="I36">
        <v>3</v>
      </c>
      <c r="J36">
        <f t="shared" si="6"/>
        <v>768</v>
      </c>
      <c r="K36">
        <v>3</v>
      </c>
      <c r="L36">
        <v>0</v>
      </c>
      <c r="M36">
        <v>0</v>
      </c>
    </row>
    <row r="37" spans="2:13" x14ac:dyDescent="0.15">
      <c r="B37">
        <v>3036</v>
      </c>
      <c r="C37" t="s">
        <v>73</v>
      </c>
      <c r="D37" s="122">
        <v>8.5079999999999989E-2</v>
      </c>
      <c r="F37" s="122">
        <v>8.5079999999999989E-2</v>
      </c>
      <c r="G37">
        <v>264.5</v>
      </c>
      <c r="H37" s="123">
        <f t="shared" si="5"/>
        <v>5454.0723363311899</v>
      </c>
      <c r="I37">
        <v>5</v>
      </c>
      <c r="J37">
        <f t="shared" si="6"/>
        <v>1322.5</v>
      </c>
      <c r="K37">
        <v>5</v>
      </c>
      <c r="L37">
        <v>0</v>
      </c>
      <c r="M37">
        <v>0</v>
      </c>
    </row>
    <row r="38" spans="2:13" x14ac:dyDescent="0.15">
      <c r="B38">
        <v>2059</v>
      </c>
      <c r="C38" t="s">
        <v>74</v>
      </c>
      <c r="D38" s="122">
        <v>8.5079999999999989E-2</v>
      </c>
      <c r="F38" s="122">
        <v>8.5079999999999989E-2</v>
      </c>
      <c r="G38">
        <v>5520</v>
      </c>
      <c r="H38" s="123">
        <f t="shared" si="5"/>
        <v>261.34096611586955</v>
      </c>
      <c r="I38">
        <v>0.3</v>
      </c>
      <c r="J38">
        <f t="shared" si="6"/>
        <v>1656</v>
      </c>
      <c r="K38">
        <v>0.3</v>
      </c>
      <c r="L38">
        <v>0</v>
      </c>
      <c r="M38">
        <v>0</v>
      </c>
    </row>
    <row r="39" spans="2:13" x14ac:dyDescent="0.15">
      <c r="B39">
        <v>3055</v>
      </c>
      <c r="C39" t="s">
        <v>75</v>
      </c>
      <c r="D39" s="122">
        <v>2.1269999999999997E-2</v>
      </c>
      <c r="F39" s="122">
        <v>2.1269999999999997E-2</v>
      </c>
      <c r="G39">
        <v>100</v>
      </c>
      <c r="H39" s="123">
        <f t="shared" si="5"/>
        <v>3606.5053323989996</v>
      </c>
      <c r="I39">
        <v>4</v>
      </c>
      <c r="J39">
        <f t="shared" si="6"/>
        <v>400</v>
      </c>
      <c r="K39">
        <v>4</v>
      </c>
      <c r="L39">
        <v>0</v>
      </c>
      <c r="M39">
        <v>0</v>
      </c>
    </row>
    <row r="40" spans="2:13" x14ac:dyDescent="0.15">
      <c r="B40">
        <v>3209</v>
      </c>
      <c r="C40" t="s">
        <v>76</v>
      </c>
      <c r="D40" s="122">
        <v>2.1269999999999997E-2</v>
      </c>
      <c r="E40" s="121"/>
      <c r="F40" s="122">
        <v>2.1269999999999997E-2</v>
      </c>
      <c r="G40">
        <v>60.5</v>
      </c>
      <c r="H40" s="123">
        <f t="shared" si="5"/>
        <v>5961.1658386760328</v>
      </c>
      <c r="I40">
        <v>6</v>
      </c>
      <c r="J40">
        <f t="shared" si="6"/>
        <v>363</v>
      </c>
      <c r="K40">
        <v>6</v>
      </c>
      <c r="L40">
        <v>0</v>
      </c>
      <c r="M40">
        <v>0</v>
      </c>
    </row>
    <row r="41" spans="2:13" x14ac:dyDescent="0.15">
      <c r="B41">
        <v>4973</v>
      </c>
      <c r="C41" t="s">
        <v>77</v>
      </c>
      <c r="D41" s="122">
        <v>2.1269999999999997E-2</v>
      </c>
      <c r="E41" s="121"/>
      <c r="F41" s="122">
        <v>2.1269999999999997E-2</v>
      </c>
      <c r="G41">
        <v>109.5</v>
      </c>
      <c r="H41" s="123">
        <f t="shared" si="5"/>
        <v>3293.612175706849</v>
      </c>
      <c r="I41">
        <v>3</v>
      </c>
      <c r="J41">
        <f t="shared" si="6"/>
        <v>328.5</v>
      </c>
      <c r="K41">
        <v>3</v>
      </c>
      <c r="L41">
        <v>0</v>
      </c>
      <c r="M41">
        <v>0</v>
      </c>
    </row>
    <row r="42" spans="2:13" x14ac:dyDescent="0.15">
      <c r="B42">
        <v>6166</v>
      </c>
      <c r="C42" t="s">
        <v>78</v>
      </c>
      <c r="D42" s="122">
        <v>4.2539999999999994E-2</v>
      </c>
      <c r="E42" s="121"/>
      <c r="F42" s="122">
        <v>4.2539999999999994E-2</v>
      </c>
      <c r="G42">
        <v>92.7</v>
      </c>
      <c r="H42" s="123">
        <f t="shared" si="5"/>
        <v>7781.0255283689312</v>
      </c>
      <c r="I42">
        <v>7</v>
      </c>
      <c r="J42">
        <f t="shared" si="6"/>
        <v>648.9</v>
      </c>
      <c r="K42">
        <v>7</v>
      </c>
      <c r="L42">
        <v>0</v>
      </c>
      <c r="M42">
        <v>0</v>
      </c>
    </row>
    <row r="43" spans="2:13" x14ac:dyDescent="0.15">
      <c r="B43">
        <v>6206</v>
      </c>
      <c r="C43" t="s">
        <v>79</v>
      </c>
      <c r="D43" s="122">
        <v>4.2539999999999994E-2</v>
      </c>
      <c r="E43" s="121"/>
      <c r="F43" s="122">
        <v>4.2539999999999994E-2</v>
      </c>
      <c r="G43">
        <v>130.5</v>
      </c>
      <c r="H43" s="123">
        <f t="shared" si="5"/>
        <v>5527.2112373931031</v>
      </c>
      <c r="I43">
        <v>5</v>
      </c>
      <c r="J43">
        <f t="shared" si="6"/>
        <v>652.5</v>
      </c>
      <c r="K43">
        <v>5</v>
      </c>
      <c r="L43">
        <v>0</v>
      </c>
      <c r="M43">
        <v>0</v>
      </c>
    </row>
    <row r="44" spans="2:13" x14ac:dyDescent="0.15">
      <c r="B44">
        <v>6274</v>
      </c>
      <c r="C44" t="s">
        <v>80</v>
      </c>
      <c r="D44" s="122">
        <v>8.5079999999999989E-2</v>
      </c>
      <c r="E44" s="121"/>
      <c r="F44" s="122">
        <v>8.5079999999999989E-2</v>
      </c>
      <c r="G44">
        <v>1455</v>
      </c>
      <c r="H44" s="123">
        <f t="shared" si="5"/>
        <v>991.47912918185557</v>
      </c>
      <c r="I44">
        <v>1</v>
      </c>
      <c r="J44">
        <f t="shared" si="6"/>
        <v>1455</v>
      </c>
      <c r="K44">
        <v>1</v>
      </c>
      <c r="L44">
        <v>0</v>
      </c>
      <c r="M44">
        <v>0</v>
      </c>
    </row>
    <row r="45" spans="2:13" x14ac:dyDescent="0.15">
      <c r="B45">
        <v>7610</v>
      </c>
      <c r="C45" t="s">
        <v>81</v>
      </c>
      <c r="D45" s="122">
        <v>4.2539999999999994E-2</v>
      </c>
      <c r="E45" s="121"/>
      <c r="F45" s="122">
        <v>4.2539999999999994E-2</v>
      </c>
      <c r="G45">
        <v>830</v>
      </c>
      <c r="H45" s="123">
        <f t="shared" si="5"/>
        <v>869.03742949373486</v>
      </c>
      <c r="I45">
        <v>1</v>
      </c>
      <c r="J45">
        <f t="shared" si="6"/>
        <v>830</v>
      </c>
      <c r="K45">
        <v>1</v>
      </c>
      <c r="L45">
        <v>0</v>
      </c>
      <c r="M45">
        <v>0</v>
      </c>
    </row>
    <row r="46" spans="2:13" x14ac:dyDescent="0.15">
      <c r="B46">
        <v>8227</v>
      </c>
      <c r="C46" t="s">
        <v>82</v>
      </c>
      <c r="D46" s="122">
        <v>4.2539999999999994E-2</v>
      </c>
      <c r="E46" s="121"/>
      <c r="F46" s="122">
        <v>4.2539999999999994E-2</v>
      </c>
      <c r="G46">
        <v>226</v>
      </c>
      <c r="H46" s="123">
        <f t="shared" si="5"/>
        <v>3191.5976392911502</v>
      </c>
      <c r="I46">
        <v>3</v>
      </c>
      <c r="J46">
        <f t="shared" si="6"/>
        <v>678</v>
      </c>
      <c r="K46">
        <v>3</v>
      </c>
      <c r="L46">
        <v>0</v>
      </c>
      <c r="M46">
        <v>0</v>
      </c>
    </row>
    <row r="47" spans="2:13" x14ac:dyDescent="0.15">
      <c r="B47">
        <v>6531</v>
      </c>
      <c r="C47" t="s">
        <v>83</v>
      </c>
      <c r="D47" s="122">
        <v>4.2539999999999994E-2</v>
      </c>
      <c r="F47" s="122">
        <v>4.2539999999999994E-2</v>
      </c>
      <c r="G47">
        <v>962</v>
      </c>
      <c r="H47" s="123">
        <f t="shared" si="5"/>
        <v>749.79320839896036</v>
      </c>
      <c r="I47">
        <v>1</v>
      </c>
      <c r="J47">
        <f t="shared" si="6"/>
        <v>962</v>
      </c>
      <c r="K47">
        <v>1</v>
      </c>
      <c r="L47">
        <v>0</v>
      </c>
      <c r="M47">
        <v>0</v>
      </c>
    </row>
    <row r="50" spans="9:9" x14ac:dyDescent="0.15">
      <c r="I50">
        <f>586.7-295</f>
        <v>291.70000000000005</v>
      </c>
    </row>
  </sheetData>
  <mergeCells count="2">
    <mergeCell ref="B20:C20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2026-09-11T06:37:56Z</dcterms:modified>
  <cp:category/>
  <cp:contentStatus/>
</cp:coreProperties>
</file>