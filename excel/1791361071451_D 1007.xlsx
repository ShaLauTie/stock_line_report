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D3E204-FDB5-40AD-9238-F496083A1F9A}" xr6:coauthVersionLast="47" xr6:coauthVersionMax="47" xr10:uidLastSave="{00000000-0000-0000-0000-000000000000}"/>
  <bookViews>
    <workbookView xWindow="-110" yWindow="-110" windowWidth="19420" windowHeight="1150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definedNames>
    <definedName name="_xlnm._FilterDatabase" localSheetId="2" hidden="1">按股票分類!$C$2:$O$22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0" i="36" l="1"/>
  <c r="C190" i="36"/>
  <c r="R190" i="36"/>
  <c r="Q190" i="36"/>
  <c r="P190" i="36"/>
  <c r="O190" i="36"/>
  <c r="N190" i="36"/>
  <c r="E190" i="36"/>
  <c r="R191" i="36"/>
  <c r="Q191" i="36"/>
  <c r="P191" i="36"/>
  <c r="O191" i="36"/>
  <c r="R189" i="36"/>
  <c r="Q189" i="36"/>
  <c r="P189" i="36"/>
  <c r="O189" i="36"/>
  <c r="N189" i="36"/>
  <c r="R188" i="36"/>
  <c r="Q188" i="36"/>
  <c r="P188" i="36"/>
  <c r="O188" i="36"/>
  <c r="N188" i="36"/>
  <c r="R187" i="36"/>
  <c r="Q187" i="36"/>
  <c r="P187" i="36"/>
  <c r="O187" i="36"/>
  <c r="N187" i="36"/>
  <c r="F11" i="2"/>
  <c r="D5" i="17"/>
  <c r="F10" i="2"/>
  <c r="D10" i="17"/>
  <c r="F9" i="2"/>
  <c r="D9" i="17"/>
  <c r="F8" i="2"/>
  <c r="D8" i="17"/>
  <c r="F7" i="2"/>
  <c r="D7" i="17"/>
  <c r="F6" i="2"/>
  <c r="D3" i="17"/>
  <c r="F5" i="2"/>
  <c r="D6" i="17"/>
  <c r="F4" i="2"/>
  <c r="D4" i="17"/>
  <c r="R186" i="36"/>
  <c r="Q186" i="36"/>
  <c r="N186" i="36"/>
  <c r="R185" i="36"/>
  <c r="Q185" i="36"/>
  <c r="N185" i="36"/>
  <c r="R184" i="36"/>
  <c r="Q184" i="36"/>
  <c r="N184" i="36"/>
  <c r="F7" i="17"/>
  <c r="F8" i="17"/>
  <c r="F3" i="17"/>
  <c r="I11" i="17"/>
  <c r="G11" i="17"/>
  <c r="F4" i="17"/>
  <c r="F6" i="17"/>
  <c r="F5" i="17"/>
  <c r="F10" i="17"/>
  <c r="F9" i="17"/>
  <c r="D17" i="17"/>
  <c r="H17" i="17"/>
  <c r="J17" i="17"/>
  <c r="D16" i="17"/>
  <c r="H16" i="17"/>
  <c r="J16" i="17"/>
  <c r="C20" i="2"/>
  <c r="I7" i="36"/>
  <c r="J7" i="36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4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/>
  <c r="O12" i="17"/>
  <c r="D13" i="17"/>
  <c r="H13" i="17"/>
  <c r="J13" i="17"/>
  <c r="G13" i="17"/>
  <c r="S7" i="36"/>
  <c r="T7" i="36"/>
  <c r="B3" i="36"/>
  <c r="O150" i="36"/>
  <c r="O72" i="36"/>
  <c r="O97" i="36"/>
  <c r="O149" i="36"/>
  <c r="O32" i="36"/>
  <c r="O98" i="36"/>
  <c r="O140" i="36"/>
  <c r="O75" i="36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P101" i="36"/>
  <c r="P24" i="36"/>
  <c r="P70" i="36"/>
  <c r="P175" i="36"/>
  <c r="P89" i="36"/>
  <c r="P23" i="36"/>
  <c r="P33" i="36"/>
  <c r="P174" i="36"/>
  <c r="P143" i="36"/>
  <c r="P62" i="36"/>
  <c r="P157" i="36"/>
  <c r="P75" i="36"/>
  <c r="P60" i="36"/>
  <c r="P166" i="36"/>
  <c r="P59" i="36"/>
  <c r="P177" i="36"/>
  <c r="P155" i="36"/>
  <c r="P120" i="36"/>
  <c r="P31" i="36"/>
  <c r="P149" i="36"/>
  <c r="P78" i="36"/>
  <c r="P92" i="36"/>
  <c r="P74" i="36"/>
  <c r="P137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182" i="36"/>
  <c r="P88" i="36"/>
  <c r="P123" i="36"/>
  <c r="P52" i="36"/>
  <c r="P64" i="36"/>
  <c r="P129" i="36"/>
  <c r="P138" i="36"/>
  <c r="P142" i="36"/>
  <c r="P68" i="36"/>
  <c r="P116" i="36"/>
  <c r="P146" i="36"/>
  <c r="P81" i="36"/>
  <c r="P27" i="36"/>
  <c r="P79" i="36"/>
  <c r="P84" i="36"/>
  <c r="P172" i="36"/>
  <c r="P141" i="36"/>
  <c r="P65" i="36"/>
  <c r="P176" i="36"/>
  <c r="P47" i="36"/>
  <c r="P160" i="36"/>
  <c r="P108" i="36"/>
  <c r="P76" i="36"/>
  <c r="P21" i="36"/>
  <c r="P130" i="36"/>
  <c r="P161" i="36"/>
  <c r="P115" i="36"/>
  <c r="P95" i="36"/>
  <c r="P150" i="36"/>
  <c r="P8" i="36"/>
  <c r="P91" i="36"/>
  <c r="P93" i="36"/>
  <c r="P45" i="36"/>
  <c r="P87" i="36"/>
  <c r="P61" i="36"/>
  <c r="P22" i="36"/>
  <c r="P71" i="36"/>
  <c r="P165" i="36"/>
  <c r="P94" i="36"/>
  <c r="P102" i="36"/>
  <c r="P17" i="36"/>
  <c r="P28" i="36"/>
  <c r="P11" i="36"/>
  <c r="P43" i="36"/>
  <c r="P118" i="36"/>
  <c r="P170" i="36"/>
  <c r="P36" i="36"/>
  <c r="P105" i="36"/>
  <c r="P104" i="36"/>
  <c r="P16" i="36"/>
  <c r="P152" i="36"/>
  <c r="P125" i="36"/>
  <c r="P30" i="36"/>
  <c r="P151" i="36"/>
  <c r="P42" i="36"/>
  <c r="P139" i="36"/>
  <c r="P19" i="36"/>
  <c r="P90" i="36"/>
  <c r="P180" i="36"/>
  <c r="P82" i="36"/>
  <c r="P41" i="36"/>
  <c r="P100" i="36"/>
  <c r="P122" i="36"/>
  <c r="P181" i="36"/>
  <c r="P183" i="36"/>
  <c r="P171" i="36"/>
  <c r="P109" i="36"/>
  <c r="P133" i="36"/>
  <c r="P168" i="36"/>
  <c r="P163" i="36"/>
  <c r="P46" i="36"/>
  <c r="P35" i="36"/>
  <c r="P66" i="36"/>
  <c r="P85" i="36"/>
  <c r="P121" i="36"/>
  <c r="P98" i="36"/>
  <c r="P54" i="36"/>
  <c r="P167" i="36"/>
  <c r="P9" i="36"/>
  <c r="P178" i="36"/>
  <c r="P49" i="36"/>
  <c r="P69" i="36"/>
  <c r="P162" i="36"/>
  <c r="P106" i="36"/>
  <c r="P179" i="36"/>
  <c r="P44" i="36"/>
  <c r="P112" i="36"/>
  <c r="P37" i="36"/>
  <c r="P80" i="36"/>
  <c r="P145" i="36"/>
  <c r="P83" i="36"/>
  <c r="P67" i="36"/>
  <c r="P18" i="36"/>
  <c r="P58" i="36"/>
  <c r="P26" i="36"/>
  <c r="P25" i="36"/>
  <c r="P57" i="36"/>
  <c r="P50" i="36"/>
  <c r="P32" i="36"/>
  <c r="P39" i="36"/>
  <c r="P132" i="36"/>
  <c r="P10" i="36"/>
  <c r="P111" i="36"/>
  <c r="P110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F11" i="17"/>
  <c r="O5" i="17"/>
  <c r="H5" i="17"/>
  <c r="J5" i="17"/>
  <c r="O10" i="17"/>
  <c r="H10" i="17"/>
  <c r="J10" i="17"/>
  <c r="O9" i="17"/>
  <c r="H9" i="17"/>
  <c r="J9" i="17"/>
  <c r="H8" i="17"/>
  <c r="J8" i="17"/>
  <c r="O8" i="17"/>
  <c r="O7" i="17"/>
  <c r="H7" i="17"/>
  <c r="J7" i="17"/>
  <c r="O3" i="17"/>
  <c r="H3" i="17"/>
  <c r="J3" i="17"/>
  <c r="O6" i="17"/>
  <c r="H6" i="17"/>
  <c r="J6" i="17"/>
  <c r="F14" i="2"/>
  <c r="P186" i="36"/>
  <c r="P185" i="36"/>
  <c r="P184" i="36"/>
  <c r="O186" i="36"/>
  <c r="O185" i="36"/>
  <c r="O184" i="36"/>
  <c r="D11" i="17"/>
  <c r="K191" i="36"/>
  <c r="H4" i="17"/>
  <c r="O4" i="17"/>
  <c r="O11" i="17"/>
  <c r="F23" i="2"/>
  <c r="D15" i="17"/>
  <c r="G19" i="17"/>
  <c r="H11" i="17"/>
  <c r="J11" i="17"/>
  <c r="J4" i="17"/>
  <c r="H27" i="2"/>
  <c r="F20" i="2"/>
  <c r="D18" i="17"/>
  <c r="H15" i="17"/>
  <c r="J15" i="17"/>
  <c r="D19" i="17"/>
  <c r="E15" i="17"/>
  <c r="H36" i="2"/>
  <c r="H29" i="2"/>
  <c r="H32" i="2"/>
  <c r="H43" i="2"/>
  <c r="H33" i="2"/>
  <c r="H37" i="2"/>
  <c r="H41" i="2"/>
  <c r="H28" i="2"/>
  <c r="H34" i="2"/>
  <c r="H31" i="2"/>
  <c r="H30" i="2"/>
  <c r="H42" i="2"/>
  <c r="H35" i="2"/>
  <c r="H40" i="2"/>
  <c r="H39" i="2"/>
  <c r="H38" i="2"/>
  <c r="H19" i="17"/>
  <c r="J19" i="17"/>
  <c r="E4" i="17"/>
  <c r="E19" i="17"/>
  <c r="E5" i="17"/>
  <c r="E16" i="17"/>
  <c r="E2" i="36"/>
  <c r="D21" i="17"/>
  <c r="D22" i="17"/>
  <c r="E10" i="17"/>
  <c r="E9" i="17"/>
  <c r="E3" i="17"/>
  <c r="E17" i="17"/>
  <c r="E12" i="17"/>
  <c r="E8" i="17"/>
  <c r="E7" i="17"/>
  <c r="B2" i="36"/>
  <c r="E6" i="17"/>
  <c r="B191" i="36"/>
  <c r="C191" i="36"/>
  <c r="E191" i="36"/>
  <c r="T191" i="36"/>
  <c r="E11" i="17"/>
  <c r="S191" i="36"/>
  <c r="N191" i="36"/>
  <c r="D1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<sst xmlns="http://schemas.openxmlformats.org/spreadsheetml/2006/main" count="118" uniqueCount="104">
  <si>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</si>
  <si>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</si>
  <si>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</si>
  <si>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</si>
  <si>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</si>
  <si>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</si>
  <si>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</si>
  <si>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</si>
  <si>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</si>
  <si>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</si>
  <si>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</si>
  <si>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</si>
  <si>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</si>
  <si>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</si>
  <si>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</si>
  <si>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</si>
  <si>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</si>
  <si>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</si>
  <si>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</si>
  <si>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</si>
  <si>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</si>
  <si>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</si>
  <si>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</si>
  <si>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</si>
  <si>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</si>
  <si>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</si>
  <si>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</si>
  <si>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</si>
  <si>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</si>
  <si>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</si>
  <si>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</si>
  <si>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</si>
  <si>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</si>
  <si>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</si>
  <si>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</si>
  <si>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</si>
  <si>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</si>
  <si>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</si>
  <si>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</si>
  <si>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</si>
  <si>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</si>
  <si>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</si>
  <si>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</si>
  <si>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</si>
  <si>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</si>
  <si>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</si>
  <si>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</si>
  <si>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</si>
  <si>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</si>
  <si>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</si>
  <si>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</si>
  <si>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</si>
  <si>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</si>
  <si>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</si>
  <si>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</si>
  <si>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</si>
  <si>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</si>
  <si>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</si>
  <si>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</si>
  <si>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</si>
  <si>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</si>
  <si>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</si>
  <si>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</si>
  <si>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</si>
  <si>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</si>
  <si>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</si>
  <si>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</si>
  <si>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</si>
  <si>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</si>
  <si>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</si>
  <si>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</si>
  <si>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</si>
  <si>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</si>
  <si>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</si>
  <si>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</si>
  <si>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</si>
  <si>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</si>
  <si>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</si>
  <si>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</si>
  <si>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</si>
  <si>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</si>
  <si>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</si>
  <si>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</si>
  <si>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</si>
  <si>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</si>
  <si>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</si>
  <si>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</si>
  <si>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</si>
  <si>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</si>
  <si>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</si>
  <si>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</si>
  <si>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</si>
  <si>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</si>
  <si>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</si>
  <si>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</si>
  <si>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</si>
  <si>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</si>
  <si>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</si>
  <si>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</si>
  <si>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</si>
  <si>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</si>
  <si>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聯茂(6213)</t>
    <phoneticPr fontId="1" type="noConversion"/>
  </si>
  <si>
    <t>台灣50正2</t>
  </si>
  <si>
    <t>台灣50正2(00631L)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</si>
</sst>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總表!$A$7:$A$195</c:f>
              <c:numCache>
                <c:formatCode>m/d/yy</c:formatCode>
                <c:ptCount val="18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</c:numCache>
            </c:numRef>
          </c:cat>
          <c:val>
            <c:numRef>
              <c:f>總表!$N$7:$N$195</c:f>
              <c:numCache>
                <c:formatCode>0.0%</c:formatCode>
                <c:ptCount val="189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1.2767809847363205</c:v>
                </c:pt>
                <c:pt idx="183">
                  <c:v>1.302048646365173</c:v>
                </c:pt>
                <c:pt idx="184">
                  <c:v>1.2755221370605243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總表!$A$7:$A$195</c:f>
              <c:numCache>
                <c:formatCode>m/d/yy</c:formatCode>
                <c:ptCount val="18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</c:numCache>
            </c:numRef>
          </c:cat>
          <c:val>
            <c:numRef>
              <c:f>總表!$Q$7:$Q$195</c:f>
              <c:numCache>
                <c:formatCode>0.0%</c:formatCode>
                <c:ptCount val="189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0.74418998093951427</c:v>
                </c:pt>
                <c:pt idx="183">
                  <c:v>0.74806883988372541</c:v>
                </c:pt>
                <c:pt idx="184">
                  <c:v>0.74750333732993579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總表!$A$7:$A$195</c:f>
              <c:numCache>
                <c:formatCode>m/d/yy</c:formatCode>
                <c:ptCount val="18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</c:numCache>
            </c:numRef>
          </c:cat>
          <c:val>
            <c:numRef>
              <c:f>總表!$R$7:$R$195</c:f>
              <c:numCache>
                <c:formatCode>0.0%</c:formatCode>
                <c:ptCount val="189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0.59364783737195626</c:v>
                </c:pt>
                <c:pt idx="183">
                  <c:v>0.58768401656396763</c:v>
                </c:pt>
                <c:pt idx="184">
                  <c:v>0.58621782805967793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191</xdr:row>
      <xdr:rowOff>185464</xdr:rowOff>
    </xdr:from>
    <xdr:to>
      <xdr:col>20</xdr:col>
      <xdr:colOff>39252</xdr:colOff>
      <xdr:row>212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2"/>
  <sheetViews>
    <sheetView tabSelected="1" topLeftCell="A2" zoomScale="55" zoomScaleNormal="55" workbookViewId="0">
      <pane xSplit="1" ySplit="5" topLeftCell="O168" activePane="bottomRight" state="frozen"/>
      <selection activeCell="A2" sqref="A2"/>
      <selection pane="bottomLeft" activeCell="B5" sqref="B5"/>
      <selection pane="topRight" activeCell="B5" sqref="B5"/>
      <selection pane="bottomRight" activeCell="M192" sqref="M192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按股票分類!D19</f>
        <v>28171806</v>
      </c>
      <c r="C2" s="35"/>
      <c r="D2" s="35"/>
      <c r="E2" s="36">
        <f>按股票分類!D11/按股票分類!D19</f>
        <v>1.5442997158222658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46302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5" x14ac:dyDescent="0.1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5" x14ac:dyDescent="0.1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5" x14ac:dyDescent="0.1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5" x14ac:dyDescent="0.1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5" x14ac:dyDescent="0.1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5" x14ac:dyDescent="0.1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5" x14ac:dyDescent="0.1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5" x14ac:dyDescent="0.1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5" x14ac:dyDescent="0.1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5" x14ac:dyDescent="0.1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5" x14ac:dyDescent="0.1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5" x14ac:dyDescent="0.1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5" x14ac:dyDescent="0.1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86" si="339">C184/C$7-1</f>
        <v>1.4360282447132033</v>
      </c>
      <c r="O184" s="61" t="e">
        <f t="shared" ref="O184:O186" si="340">G184/G$7-1</f>
        <v>#REF!</v>
      </c>
      <c r="P184" s="61" t="e">
        <f t="shared" ref="P184:P186" si="341">J184/J$7-1</f>
        <v>#REF!</v>
      </c>
      <c r="Q184" s="61">
        <f t="shared" ref="Q184:Q186" si="342">L184/L$7-1</f>
        <v>0.68497411008834108</v>
      </c>
      <c r="R184" s="61">
        <f t="shared" ref="R184:R186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5" x14ac:dyDescent="0.1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5" x14ac:dyDescent="0.1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si="339"/>
        <v>1.2547651645306237</v>
      </c>
      <c r="O186" s="61" t="e">
        <f t="shared" si="340"/>
        <v>#REF!</v>
      </c>
      <c r="P186" s="61" t="e">
        <f t="shared" si="341"/>
        <v>#REF!</v>
      </c>
      <c r="Q186" s="61">
        <f t="shared" si="342"/>
        <v>0.68201231511920479</v>
      </c>
      <c r="R186" s="61">
        <f t="shared" si="343"/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5" x14ac:dyDescent="0.1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ref="N187:N191" si="344">C187/C$7-1</f>
        <v>1.2315317312810521</v>
      </c>
      <c r="O187" s="61" t="e">
        <f t="shared" ref="O187:O191" si="345">G187/G$7-1</f>
        <v>#REF!</v>
      </c>
      <c r="P187" s="61" t="e">
        <f t="shared" ref="P187:P191" si="346">J187/J$7-1</f>
        <v>#REF!</v>
      </c>
      <c r="Q187" s="61">
        <f t="shared" ref="Q187:Q191" si="347">L187/L$7-1</f>
        <v>0.69652404834887527</v>
      </c>
      <c r="R187" s="61">
        <f t="shared" ref="R187:R191" si="348">M187/M$7-1</f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5" x14ac:dyDescent="0.1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44"/>
        <v>1.258712946382055</v>
      </c>
      <c r="O188" s="61" t="e">
        <f t="shared" si="345"/>
        <v>#REF!</v>
      </c>
      <c r="P188" s="61" t="e">
        <f t="shared" si="346"/>
        <v>#REF!</v>
      </c>
      <c r="Q188" s="61">
        <f t="shared" si="347"/>
        <v>0.70081334045863541</v>
      </c>
      <c r="R188" s="61">
        <f t="shared" si="348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5" x14ac:dyDescent="0.15">
      <c r="A189" s="55">
        <v>46300</v>
      </c>
      <c r="B189" s="56">
        <v>28187391</v>
      </c>
      <c r="C189" s="79">
        <v>22.767809847363203</v>
      </c>
      <c r="D189" s="58">
        <v>1238037</v>
      </c>
      <c r="E189" s="58">
        <v>223689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v>41184366</v>
      </c>
      <c r="L189" s="60">
        <v>114952.55</v>
      </c>
      <c r="M189" s="60">
        <v>804.33</v>
      </c>
      <c r="N189" s="61">
        <f t="shared" si="344"/>
        <v>1.2767809847363205</v>
      </c>
      <c r="O189" s="61" t="e">
        <f t="shared" si="345"/>
        <v>#REF!</v>
      </c>
      <c r="P189" s="61" t="e">
        <f t="shared" si="346"/>
        <v>#REF!</v>
      </c>
      <c r="Q189" s="61">
        <f t="shared" si="347"/>
        <v>0.74418998093951427</v>
      </c>
      <c r="R189" s="61">
        <f t="shared" si="348"/>
        <v>0.59364783737195626</v>
      </c>
      <c r="S189" s="83">
        <v>-6.5371680448488068E-2</v>
      </c>
      <c r="T189" s="62">
        <v>1.4610918051975792</v>
      </c>
      <c r="U189" s="62">
        <v>0</v>
      </c>
    </row>
    <row r="190" spans="1:21" ht="15" x14ac:dyDescent="0.15">
      <c r="A190" s="55">
        <v>46301</v>
      </c>
      <c r="B190" s="56">
        <v>28500214</v>
      </c>
      <c r="C190" s="79">
        <f>B190/D190</f>
        <v>23.020486463651732</v>
      </c>
      <c r="D190" s="58">
        <v>1238037</v>
      </c>
      <c r="E190" s="58">
        <f>B190-B189</f>
        <v>312823</v>
      </c>
      <c r="F190" s="58">
        <v>16182750.353</v>
      </c>
      <c r="G190" s="79" t="e">
        <v>#REF!</v>
      </c>
      <c r="H190" s="58" t="e">
        <v>#REF!</v>
      </c>
      <c r="I190" s="59">
        <v>5551891.5239139982</v>
      </c>
      <c r="J190" s="79">
        <v>3.387033201567561</v>
      </c>
      <c r="K190" s="59">
        <v>43815120</v>
      </c>
      <c r="L190" s="60">
        <v>115208.19</v>
      </c>
      <c r="M190" s="60">
        <v>801.32</v>
      </c>
      <c r="N190" s="61">
        <f t="shared" ref="N190" si="349">C190/C$7-1</f>
        <v>1.302048646365173</v>
      </c>
      <c r="O190" s="61" t="e">
        <f t="shared" ref="O190" si="350">G190/G$7-1</f>
        <v>#REF!</v>
      </c>
      <c r="P190" s="61" t="e">
        <f t="shared" ref="P190" si="351">J190/J$7-1</f>
        <v>#REF!</v>
      </c>
      <c r="Q190" s="61">
        <f t="shared" ref="Q190" si="352">L190/L$7-1</f>
        <v>0.74806883988372541</v>
      </c>
      <c r="R190" s="61">
        <f t="shared" ref="R190" si="353">M190/M$7-1</f>
        <v>0.58768401656396763</v>
      </c>
      <c r="S190" s="83">
        <f>C190/MAX($C$7:C190)-1</f>
        <v>-5.4999197418502677E-2</v>
      </c>
      <c r="T190" s="62">
        <v>1.5383866712984917</v>
      </c>
      <c r="U190" s="62">
        <v>0</v>
      </c>
    </row>
    <row r="191" spans="1:21" ht="17.100000000000001" customHeight="1" x14ac:dyDescent="0.15">
      <c r="A191" s="55">
        <v>46302</v>
      </c>
      <c r="B191" s="56">
        <f>按股票分類!D19</f>
        <v>28171806</v>
      </c>
      <c r="C191" s="79">
        <f>B191/D191</f>
        <v>22.755221370605241</v>
      </c>
      <c r="D191" s="58">
        <v>1238037</v>
      </c>
      <c r="E191" s="58">
        <f>B191-B190</f>
        <v>-328408</v>
      </c>
      <c r="F191" s="58">
        <v>16182750.353</v>
      </c>
      <c r="G191" s="79" t="e">
        <v>#REF!</v>
      </c>
      <c r="H191" s="58" t="e">
        <v>#REF!</v>
      </c>
      <c r="I191" s="59">
        <v>5551891.5239139982</v>
      </c>
      <c r="J191" s="79">
        <v>3.387033201567561</v>
      </c>
      <c r="K191" s="59">
        <f>按股票分類!D11</f>
        <v>43505712</v>
      </c>
      <c r="L191" s="60">
        <v>115170.92</v>
      </c>
      <c r="M191" s="60">
        <v>800.58</v>
      </c>
      <c r="N191" s="61">
        <f t="shared" si="344"/>
        <v>1.2755221370605243</v>
      </c>
      <c r="O191" s="61" t="e">
        <f t="shared" si="345"/>
        <v>#REF!</v>
      </c>
      <c r="P191" s="61" t="e">
        <f t="shared" si="346"/>
        <v>#REF!</v>
      </c>
      <c r="Q191" s="61">
        <f t="shared" si="347"/>
        <v>0.74750333732993579</v>
      </c>
      <c r="R191" s="61">
        <f t="shared" si="348"/>
        <v>0.58621782805967793</v>
      </c>
      <c r="S191" s="83">
        <f>C191/MAX($C$7:C191)-1</f>
        <v>-6.5888442796596447E-2</v>
      </c>
      <c r="T191" s="62">
        <f>K191/B191</f>
        <v>1.5442997158222658</v>
      </c>
      <c r="U191" s="62">
        <v>0</v>
      </c>
    </row>
    <row r="192" spans="1:21" ht="15" x14ac:dyDescent="0.15">
      <c r="A192" s="55"/>
      <c r="B192" s="56"/>
      <c r="C192" s="61"/>
      <c r="D192" s="56"/>
      <c r="F192" s="58"/>
      <c r="G192" s="58"/>
      <c r="H192" s="58"/>
      <c r="I192" s="59"/>
      <c r="J192" s="59"/>
      <c r="K192" s="59"/>
      <c r="L192" s="60"/>
      <c r="M192" s="84"/>
      <c r="N192" s="61"/>
      <c r="O192" s="61"/>
      <c r="P192" s="61"/>
      <c r="Q192" s="61"/>
      <c r="R192" s="61"/>
      <c r="S192" s="61"/>
      <c r="T192" s="62"/>
      <c r="U192" s="62"/>
    </row>
    <row r="193" spans="1:23" ht="15" x14ac:dyDescent="0.1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3" ht="15" x14ac:dyDescent="0.1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3" ht="15" x14ac:dyDescent="0.1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3" ht="15" x14ac:dyDescent="0.1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3" ht="15" x14ac:dyDescent="0.1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3" ht="15" x14ac:dyDescent="0.1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58"/>
      <c r="R198" s="61"/>
      <c r="S198" s="61"/>
      <c r="T198" s="62"/>
      <c r="U198" s="62"/>
    </row>
    <row r="199" spans="1:23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58"/>
      <c r="R199" s="82"/>
      <c r="S199" s="61"/>
      <c r="T199" s="62"/>
      <c r="U199" s="62"/>
    </row>
    <row r="200" spans="1:23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58"/>
      <c r="R200" s="61"/>
      <c r="S200" s="61"/>
      <c r="T200" s="62"/>
      <c r="U200" s="62"/>
    </row>
    <row r="201" spans="1:23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58"/>
      <c r="R201" s="61" t="s">
        <v>21</v>
      </c>
      <c r="S201" s="61"/>
      <c r="T201" s="62"/>
      <c r="U201" s="62"/>
    </row>
    <row r="202" spans="1:23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3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58"/>
      <c r="R203" s="61"/>
      <c r="S203" s="61"/>
      <c r="T203" s="62"/>
      <c r="U203" s="62"/>
    </row>
    <row r="204" spans="1:23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58"/>
      <c r="R204" s="61"/>
      <c r="S204" s="61"/>
      <c r="T204" s="62"/>
      <c r="U204" s="62"/>
    </row>
    <row r="205" spans="1:23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  <c r="W206" s="103"/>
    </row>
    <row r="207" spans="1:23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59"/>
      <c r="O220" s="61"/>
      <c r="P220" s="61"/>
      <c r="Q220" s="61"/>
      <c r="R220" s="61"/>
      <c r="S220" s="61"/>
      <c r="T220" s="62"/>
      <c r="U220" s="62"/>
    </row>
    <row r="221" spans="1:21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59"/>
      <c r="J287" s="59"/>
      <c r="K287" s="59"/>
      <c r="L287" s="60"/>
      <c r="M287" s="60"/>
      <c r="N287" s="61"/>
      <c r="O287" s="61"/>
      <c r="P287" s="61"/>
      <c r="Q287" s="61"/>
      <c r="R287" s="61"/>
      <c r="S287" s="61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59"/>
      <c r="J288" s="59"/>
      <c r="K288" s="59"/>
      <c r="L288" s="60"/>
      <c r="M288" s="60"/>
      <c r="N288" s="61"/>
      <c r="O288" s="61"/>
      <c r="P288" s="61"/>
      <c r="Q288" s="61"/>
      <c r="R288" s="61"/>
      <c r="S288" s="61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63"/>
      <c r="J315" s="63"/>
      <c r="K315" s="63"/>
      <c r="L315" s="60"/>
      <c r="M315" s="60"/>
      <c r="N315" s="64"/>
      <c r="O315" s="64"/>
      <c r="P315" s="64"/>
      <c r="Q315" s="64"/>
      <c r="R315" s="64"/>
      <c r="S315" s="64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63"/>
      <c r="J316" s="63"/>
      <c r="K316" s="63"/>
      <c r="L316" s="60"/>
      <c r="M316" s="60"/>
      <c r="N316" s="64"/>
      <c r="O316" s="64"/>
      <c r="P316" s="64"/>
      <c r="Q316" s="64"/>
      <c r="R316" s="64"/>
      <c r="S316" s="64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5" x14ac:dyDescent="0.1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5" x14ac:dyDescent="0.1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5" x14ac:dyDescent="0.1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5" x14ac:dyDescent="0.1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5" x14ac:dyDescent="0.1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5" x14ac:dyDescent="0.1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5" x14ac:dyDescent="0.1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5" x14ac:dyDescent="0.1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5" x14ac:dyDescent="0.1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5" x14ac:dyDescent="0.1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5" x14ac:dyDescent="0.1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5" x14ac:dyDescent="0.1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5" x14ac:dyDescent="0.1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5" x14ac:dyDescent="0.1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5" x14ac:dyDescent="0.1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5" x14ac:dyDescent="0.1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5" x14ac:dyDescent="0.1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  <row r="421" spans="1:21" ht="15" x14ac:dyDescent="0.15">
      <c r="A421" s="55"/>
      <c r="B421" s="56"/>
      <c r="C421" s="56"/>
      <c r="D421" s="56"/>
      <c r="E421" s="57"/>
      <c r="F421" s="58"/>
      <c r="G421" s="58"/>
      <c r="H421" s="58"/>
      <c r="I421" s="59"/>
      <c r="J421" s="59"/>
      <c r="K421" s="59"/>
      <c r="L421" s="60"/>
      <c r="M421" s="60"/>
      <c r="N421" s="61"/>
      <c r="O421" s="61"/>
      <c r="P421" s="61"/>
      <c r="Q421" s="61"/>
      <c r="R421" s="61"/>
      <c r="S421" s="61"/>
      <c r="T421" s="62"/>
      <c r="U421" s="62"/>
    </row>
    <row r="422" spans="1:21" ht="15" x14ac:dyDescent="0.15">
      <c r="A422" s="55"/>
      <c r="B422" s="56"/>
      <c r="C422" s="56"/>
      <c r="D422" s="56"/>
      <c r="E422" s="57"/>
      <c r="F422" s="58"/>
      <c r="G422" s="58"/>
      <c r="H422" s="58"/>
      <c r="I422" s="59"/>
      <c r="J422" s="59"/>
      <c r="K422" s="59"/>
      <c r="L422" s="60"/>
      <c r="M422" s="60"/>
      <c r="N422" s="61"/>
      <c r="O422" s="61"/>
      <c r="P422" s="61"/>
      <c r="Q422" s="61"/>
      <c r="R422" s="61"/>
      <c r="S422" s="61"/>
      <c r="T422" s="62"/>
      <c r="U422" s="62"/>
    </row>
  </sheetData>
  <sheetProtection selectLockedCells="1"/>
  <phoneticPr fontId="1" type="noConversion"/>
  <conditionalFormatting sqref="S2:S5 S7:S191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2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91"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</conditionalFormatting>
  <conditionalFormatting sqref="T8:T191"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</conditionalFormatting>
  <conditionalFormatting sqref="T192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2:T422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91"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2:U422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T7:T191</xm:sqref>
        </x14:conditionalFormatting>
        <x14:conditionalFormatting xmlns:xm="http://schemas.microsoft.com/office/excel/2006/main"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T8:T191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T192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T192:T422</xm:sqref>
        </x14:conditionalFormatting>
        <x14:conditionalFormatting xmlns:xm="http://schemas.microsoft.com/office/excel/2006/main"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U8:U191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U192:U422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opLeftCell="B1" zoomScale="85" zoomScaleNormal="85" workbookViewId="0">
      <selection activeCell="E15" sqref="E15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820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99</v>
      </c>
      <c r="D3" s="125">
        <f>帳戶!F6</f>
        <v>15909500</v>
      </c>
      <c r="E3" s="69">
        <f t="shared" ref="E3:E10" si="0">D3/$D$19</f>
        <v>0.56473127778886456</v>
      </c>
      <c r="F3" s="125">
        <f>帳戶!E6</f>
        <v>9342000</v>
      </c>
      <c r="G3" s="125">
        <v>15968250</v>
      </c>
      <c r="H3" s="94">
        <f t="shared" ref="H3" si="1">D3-G3</f>
        <v>-58750</v>
      </c>
      <c r="I3" s="92">
        <v>9342000</v>
      </c>
      <c r="J3" s="21">
        <f t="shared" ref="J3" si="2">IFERROR(H3/G3,"n/a")</f>
        <v>-3.6791758646063282E-3</v>
      </c>
      <c r="K3" s="29" t="s">
        <v>93</v>
      </c>
      <c r="L3" s="130"/>
      <c r="M3" s="130"/>
      <c r="N3" s="131"/>
      <c r="O3" s="98">
        <f>D3*0.1</f>
        <v>1590950</v>
      </c>
    </row>
    <row r="4" spans="3:15" x14ac:dyDescent="0.15">
      <c r="C4" s="124" t="s">
        <v>86</v>
      </c>
      <c r="D4" s="125">
        <f>帳戶!F4</f>
        <v>6574000</v>
      </c>
      <c r="E4" s="69">
        <f t="shared" si="0"/>
        <v>0.23335387159772433</v>
      </c>
      <c r="F4" s="125">
        <f>帳戶!E4</f>
        <v>0</v>
      </c>
      <c r="G4" s="125">
        <v>6840000</v>
      </c>
      <c r="H4" s="94">
        <f>D4-G4</f>
        <v>-266000</v>
      </c>
      <c r="I4" s="92">
        <v>0</v>
      </c>
      <c r="J4" s="21">
        <f>IFERROR(H4/G4,"n/a")</f>
        <v>-3.888888888888889E-2</v>
      </c>
      <c r="K4" s="29" t="s">
        <v>84</v>
      </c>
      <c r="L4" s="130"/>
      <c r="M4" s="130"/>
      <c r="N4" s="131"/>
      <c r="O4" s="98">
        <f t="shared" ref="O4" si="3">D4*0.1</f>
        <v>657400</v>
      </c>
    </row>
    <row r="5" spans="3:15" x14ac:dyDescent="0.15">
      <c r="C5" s="124" t="s">
        <v>89</v>
      </c>
      <c r="D5" s="125">
        <f>帳戶!F11</f>
        <v>5031040</v>
      </c>
      <c r="E5" s="69">
        <f t="shared" si="0"/>
        <v>0.17858421998220492</v>
      </c>
      <c r="F5" s="125">
        <f>帳戶!E11</f>
        <v>1320000</v>
      </c>
      <c r="G5" s="125">
        <v>5143340</v>
      </c>
      <c r="H5" s="94">
        <f t="shared" ref="H5" si="4">D5-G5</f>
        <v>-112300</v>
      </c>
      <c r="I5" s="92">
        <v>1320000</v>
      </c>
      <c r="J5" s="21">
        <f t="shared" ref="J5" si="5">IFERROR(H5/G5,"n/a")</f>
        <v>-2.1834061135371178E-2</v>
      </c>
      <c r="K5" s="29" t="s">
        <v>87</v>
      </c>
      <c r="L5" s="130"/>
      <c r="M5" s="130"/>
      <c r="N5" s="131"/>
      <c r="O5" s="98">
        <f>D5*0.1</f>
        <v>503104</v>
      </c>
    </row>
    <row r="6" spans="3:15" x14ac:dyDescent="0.15">
      <c r="C6" s="124" t="s">
        <v>95</v>
      </c>
      <c r="D6" s="125">
        <f>帳戶!F5</f>
        <v>4865112</v>
      </c>
      <c r="E6" s="69">
        <f t="shared" si="0"/>
        <v>0.17269435974392269</v>
      </c>
      <c r="F6" s="125">
        <f>帳戶!E5</f>
        <v>0</v>
      </c>
      <c r="G6" s="125">
        <v>5000940</v>
      </c>
      <c r="H6" s="94">
        <f t="shared" ref="H6" si="6">D6-G6</f>
        <v>-135828</v>
      </c>
      <c r="I6" s="92">
        <v>0</v>
      </c>
      <c r="J6" s="21">
        <f t="shared" ref="J6" si="7">IFERROR(H6/G6,"n/a")</f>
        <v>-2.7160493827160494E-2</v>
      </c>
      <c r="K6" s="29" t="s">
        <v>84</v>
      </c>
      <c r="L6" s="130"/>
      <c r="M6" s="130"/>
      <c r="N6" s="131"/>
      <c r="O6" s="98">
        <f t="shared" ref="O6" si="8">D6*0.1</f>
        <v>486511.2</v>
      </c>
    </row>
    <row r="7" spans="3:15" x14ac:dyDescent="0.15">
      <c r="C7" s="124" t="s">
        <v>103</v>
      </c>
      <c r="D7" s="125">
        <f>帳戶!F7</f>
        <v>3382560</v>
      </c>
      <c r="E7" s="69">
        <f t="shared" si="0"/>
        <v>0.12006897960322459</v>
      </c>
      <c r="F7" s="125">
        <f>帳戶!E7</f>
        <v>704000</v>
      </c>
      <c r="G7" s="125">
        <v>3393090</v>
      </c>
      <c r="H7" s="94">
        <f>D7-G7</f>
        <v>-10530</v>
      </c>
      <c r="I7" s="92">
        <v>704000</v>
      </c>
      <c r="J7" s="21">
        <f>IFERROR(H7/G7,"n/a")</f>
        <v>-3.1033659584626403E-3</v>
      </c>
      <c r="K7" s="29" t="s">
        <v>93</v>
      </c>
      <c r="L7" s="130"/>
      <c r="M7" s="130"/>
      <c r="N7" s="131"/>
      <c r="O7" s="98">
        <f>D7*0.1</f>
        <v>338256</v>
      </c>
    </row>
    <row r="8" spans="3:15" x14ac:dyDescent="0.15">
      <c r="C8" s="124" t="s">
        <v>100</v>
      </c>
      <c r="D8" s="125">
        <f>帳戶!F8</f>
        <v>3459500</v>
      </c>
      <c r="E8" s="69">
        <f t="shared" si="0"/>
        <v>0.12280007891577842</v>
      </c>
      <c r="F8" s="125">
        <f>帳戶!E8</f>
        <v>1683000</v>
      </c>
      <c r="G8" s="125">
        <v>3228500</v>
      </c>
      <c r="H8" s="94">
        <f t="shared" ref="H8" si="9">D8-G8</f>
        <v>231000</v>
      </c>
      <c r="I8" s="92">
        <v>1683000</v>
      </c>
      <c r="J8" s="21">
        <f t="shared" ref="J8" si="10">IFERROR(H8/G8,"n/a")</f>
        <v>7.1550255536626917E-2</v>
      </c>
      <c r="K8" s="29" t="s">
        <v>93</v>
      </c>
      <c r="L8" s="130"/>
      <c r="M8" s="130"/>
      <c r="N8" s="131"/>
      <c r="O8" s="98">
        <f t="shared" ref="O8" si="11">D8*0.1</f>
        <v>345950</v>
      </c>
    </row>
    <row r="9" spans="3:15" x14ac:dyDescent="0.15">
      <c r="C9" s="124" t="s">
        <v>101</v>
      </c>
      <c r="D9" s="125">
        <f>帳戶!F9</f>
        <v>2388000</v>
      </c>
      <c r="E9" s="69">
        <f t="shared" si="0"/>
        <v>8.4765598627223257E-2</v>
      </c>
      <c r="F9" s="125">
        <f>帳戶!E9</f>
        <v>1153000</v>
      </c>
      <c r="G9" s="125">
        <v>2361000</v>
      </c>
      <c r="H9" s="94">
        <f t="shared" ref="H9" si="12">D9-G9</f>
        <v>27000</v>
      </c>
      <c r="I9" s="92">
        <v>1153000</v>
      </c>
      <c r="J9" s="21">
        <f t="shared" ref="J9" si="13">IFERROR(H9/G9,"n/a")</f>
        <v>1.1435832274459974E-2</v>
      </c>
      <c r="K9" s="29" t="s">
        <v>93</v>
      </c>
      <c r="L9" s="130"/>
      <c r="M9" s="130"/>
      <c r="N9" s="131"/>
      <c r="O9" s="98">
        <f>D9*0.1</f>
        <v>238800</v>
      </c>
    </row>
    <row r="10" spans="3:15" x14ac:dyDescent="0.15">
      <c r="C10" s="124" t="s">
        <v>92</v>
      </c>
      <c r="D10" s="125">
        <f>帳戶!F10</f>
        <v>1896000</v>
      </c>
      <c r="E10" s="69">
        <f t="shared" si="0"/>
        <v>6.7301329563322992E-2</v>
      </c>
      <c r="F10" s="125">
        <f>帳戶!E10</f>
        <v>1149000</v>
      </c>
      <c r="G10" s="125">
        <v>1899000</v>
      </c>
      <c r="H10" s="94">
        <f>D10-G10</f>
        <v>-3000</v>
      </c>
      <c r="I10" s="92">
        <v>1149000</v>
      </c>
      <c r="J10" s="21">
        <f>IFERROR(H10/G10,"n/a")</f>
        <v>-1.5797788309636651E-3</v>
      </c>
      <c r="K10" s="29" t="s">
        <v>90</v>
      </c>
      <c r="L10" s="130"/>
      <c r="M10" s="130"/>
      <c r="N10" s="131"/>
      <c r="O10" s="98">
        <f>D10*0.1</f>
        <v>189600</v>
      </c>
    </row>
    <row r="11" spans="3:15" ht="15.75" thickBot="1" x14ac:dyDescent="0.2">
      <c r="C11" s="18" t="s">
        <v>30</v>
      </c>
      <c r="D11" s="90">
        <f t="shared" ref="D11:I11" si="14">SUM(D3:D10)</f>
        <v>43505712</v>
      </c>
      <c r="E11" s="118">
        <f t="shared" si="14"/>
        <v>1.5442997158222658</v>
      </c>
      <c r="F11" s="90">
        <f t="shared" si="14"/>
        <v>15351000</v>
      </c>
      <c r="G11" s="90">
        <f t="shared" si="14"/>
        <v>43834120</v>
      </c>
      <c r="H11" s="90">
        <f t="shared" si="14"/>
        <v>-328408</v>
      </c>
      <c r="I11" s="90">
        <f t="shared" si="14"/>
        <v>15351000</v>
      </c>
      <c r="J11" s="86">
        <f t="shared" ref="J11:J13" si="15">IFERROR(H11/G11,"n/a")</f>
        <v>-7.4920632603095484E-3</v>
      </c>
      <c r="K11" s="86"/>
      <c r="L11" s="86"/>
      <c r="M11" s="86"/>
      <c r="N11" s="86"/>
      <c r="O11" s="126">
        <f>SUM(O3:O10)</f>
        <v>4350571.2</v>
      </c>
    </row>
    <row r="12" spans="3:15" ht="16.5" customHeight="1" x14ac:dyDescent="0.15">
      <c r="C12" s="87"/>
      <c r="D12" s="104">
        <v>0</v>
      </c>
      <c r="E12" s="106">
        <f>D12/$D$19</f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5"/>
        <v>n/a</v>
      </c>
      <c r="K12" s="107"/>
      <c r="L12" s="107"/>
      <c r="M12" s="107"/>
      <c r="N12" s="107"/>
      <c r="O12" s="100">
        <f>D12*0.1</f>
        <v>0</v>
      </c>
    </row>
    <row r="13" spans="3:15" ht="15.75" thickBot="1" x14ac:dyDescent="0.2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5"/>
        <v>n/a</v>
      </c>
      <c r="K13" s="86"/>
      <c r="L13" s="86"/>
      <c r="M13" s="86"/>
      <c r="N13" s="86"/>
      <c r="O13" s="99">
        <f>SUM(0)</f>
        <v>0</v>
      </c>
    </row>
    <row r="14" spans="3:15" x14ac:dyDescent="0.15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15">
      <c r="C15" s="71" t="s">
        <v>32</v>
      </c>
      <c r="D15" s="91">
        <f>帳戶!C20</f>
        <v>17094</v>
      </c>
      <c r="E15" s="69">
        <f>D15/$D$19</f>
        <v>6.0677686052502283E-4</v>
      </c>
      <c r="F15" s="69"/>
      <c r="G15" s="91">
        <v>17094</v>
      </c>
      <c r="H15" s="94">
        <f>D15-G15</f>
        <v>0</v>
      </c>
      <c r="I15" s="22"/>
      <c r="J15" s="70">
        <f>H15/G15</f>
        <v>0</v>
      </c>
      <c r="K15" s="29" t="s">
        <v>32</v>
      </c>
      <c r="L15" s="29"/>
      <c r="M15" s="29"/>
      <c r="N15" s="29"/>
      <c r="O15" s="98"/>
    </row>
    <row r="16" spans="3:15" x14ac:dyDescent="0.1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15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5.75" thickBot="1" x14ac:dyDescent="0.2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5.75" thickBot="1" x14ac:dyDescent="0.2">
      <c r="C19" s="18" t="s">
        <v>30</v>
      </c>
      <c r="D19" s="90">
        <f>D11+D15-F11+D17+D16</f>
        <v>28171806</v>
      </c>
      <c r="E19" s="118">
        <f>D19/$D$19</f>
        <v>1</v>
      </c>
      <c r="F19" s="20"/>
      <c r="G19" s="90">
        <f>G11+G15-I11+G17+G16</f>
        <v>28500214</v>
      </c>
      <c r="H19" s="95">
        <f t="shared" ref="H19" si="16">D19-G19</f>
        <v>-328408</v>
      </c>
      <c r="I19" s="19"/>
      <c r="J19" s="20">
        <f>H19/G19</f>
        <v>-1.1523001195710319E-2</v>
      </c>
      <c r="K19" s="20"/>
      <c r="L19" s="20"/>
      <c r="M19" s="20"/>
      <c r="N19" s="20"/>
      <c r="O19" s="99"/>
    </row>
    <row r="20" spans="2:15" x14ac:dyDescent="0.15">
      <c r="C20" s="119" t="s">
        <v>35</v>
      </c>
      <c r="D20" s="120">
        <v>28500214</v>
      </c>
      <c r="E20" s="23"/>
      <c r="G20" s="23"/>
      <c r="I20" s="26"/>
      <c r="O20" s="97"/>
    </row>
    <row r="21" spans="2:15" ht="18.75" customHeight="1" x14ac:dyDescent="0.15">
      <c r="C21" s="11" t="s">
        <v>36</v>
      </c>
      <c r="D21" s="93">
        <f>D19-D20</f>
        <v>-328408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5.75" thickBot="1" x14ac:dyDescent="0.2">
      <c r="C22" s="12" t="s">
        <v>37</v>
      </c>
      <c r="D22" s="13">
        <f>D21/D20</f>
        <v>-1.1523001195710319E-2</v>
      </c>
      <c r="E22" s="23"/>
      <c r="F22" s="24"/>
      <c r="G22" s="23"/>
      <c r="H22" s="24"/>
      <c r="O22" s="97"/>
    </row>
    <row r="23" spans="2:15" x14ac:dyDescent="0.1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15">
      <c r="D24" s="25"/>
      <c r="E24" s="25"/>
    </row>
    <row r="26" spans="2:15" ht="17.25" customHeight="1" x14ac:dyDescent="0.15"/>
    <row r="28" spans="2:15" x14ac:dyDescent="0.15">
      <c r="G28" t="s">
        <v>21</v>
      </c>
    </row>
    <row r="29" spans="2:15" x14ac:dyDescent="0.15">
      <c r="B29" t="s">
        <v>53</v>
      </c>
    </row>
  </sheetData>
  <phoneticPr fontId="1" type="noConversion"/>
  <conditionalFormatting sqref="D2"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3">
    <cfRule type="dataBar" priority="1481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1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1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1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</conditionalFormatting>
  <conditionalFormatting sqref="E3:E14">
    <cfRule type="dataBar" priority="1482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48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2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{22B55D4C-5A64-4D97-AB73-6D5957C3CB2B}</x14:id>
        </ext>
      </extLst>
    </cfRule>
  </conditionalFormatting>
  <conditionalFormatting sqref="E14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</conditionalFormatting>
  <conditionalFormatting sqref="E15"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</conditionalFormatting>
  <conditionalFormatting sqref="E18:E20"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</conditionalFormatting>
  <conditionalFormatting sqref="E22"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</conditionalFormatting>
  <conditionalFormatting sqref="F2 F22 F18:F19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</conditionalFormatting>
  <conditionalFormatting sqref="F16:F22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8:F20 F22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</conditionalFormatting>
  <conditionalFormatting sqref="F22"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1 H11 O1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22B55D4C-5A64-4D97-AB73-6D5957C3CB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zoomScaleNormal="100" workbookViewId="0">
      <selection activeCell="D12" sqref="D12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85</v>
      </c>
      <c r="C4" s="2">
        <v>38000</v>
      </c>
      <c r="D4" s="3">
        <v>173</v>
      </c>
      <c r="E4" s="2">
        <v>0</v>
      </c>
      <c r="F4" s="2">
        <f t="shared" ref="F4:F10" si="0">C4*D4</f>
        <v>6574000</v>
      </c>
    </row>
    <row r="5" spans="2:6" x14ac:dyDescent="0.15">
      <c r="B5" s="7" t="s">
        <v>94</v>
      </c>
      <c r="C5" s="2">
        <v>24696</v>
      </c>
      <c r="D5" s="3">
        <v>197</v>
      </c>
      <c r="E5" s="2">
        <v>0</v>
      </c>
      <c r="F5" s="2">
        <f t="shared" si="0"/>
        <v>4865112</v>
      </c>
    </row>
    <row r="6" spans="2:6" x14ac:dyDescent="0.15">
      <c r="B6" s="7" t="s">
        <v>96</v>
      </c>
      <c r="C6" s="2">
        <v>235000</v>
      </c>
      <c r="D6" s="3">
        <v>67.7</v>
      </c>
      <c r="E6" s="2">
        <v>9342000</v>
      </c>
      <c r="F6" s="2">
        <f t="shared" si="0"/>
        <v>15909500</v>
      </c>
    </row>
    <row r="7" spans="2:6" x14ac:dyDescent="0.15">
      <c r="B7" s="7" t="s">
        <v>102</v>
      </c>
      <c r="C7" s="2">
        <v>81000</v>
      </c>
      <c r="D7" s="3">
        <v>41.76</v>
      </c>
      <c r="E7" s="2">
        <v>704000</v>
      </c>
      <c r="F7" s="2">
        <f t="shared" ref="F7" si="1">C7*D7</f>
        <v>3382560</v>
      </c>
    </row>
    <row r="8" spans="2:6" x14ac:dyDescent="0.15">
      <c r="B8" s="7" t="s">
        <v>97</v>
      </c>
      <c r="C8" s="2">
        <v>11000</v>
      </c>
      <c r="D8" s="3">
        <v>314.5</v>
      </c>
      <c r="E8" s="2">
        <v>1683000</v>
      </c>
      <c r="F8" s="2">
        <f t="shared" si="0"/>
        <v>3459500</v>
      </c>
    </row>
    <row r="9" spans="2:6" x14ac:dyDescent="0.15">
      <c r="B9" s="7" t="s">
        <v>98</v>
      </c>
      <c r="C9" s="2">
        <v>3000</v>
      </c>
      <c r="D9" s="3">
        <v>796</v>
      </c>
      <c r="E9" s="2">
        <v>1153000</v>
      </c>
      <c r="F9" s="2">
        <f t="shared" si="0"/>
        <v>2388000</v>
      </c>
    </row>
    <row r="10" spans="2:6" x14ac:dyDescent="0.15">
      <c r="B10" s="7" t="s">
        <v>91</v>
      </c>
      <c r="C10" s="2">
        <v>6000</v>
      </c>
      <c r="D10" s="3">
        <v>316</v>
      </c>
      <c r="E10" s="2">
        <v>1149000</v>
      </c>
      <c r="F10" s="2">
        <f t="shared" si="0"/>
        <v>1896000</v>
      </c>
    </row>
    <row r="11" spans="2:6" x14ac:dyDescent="0.15">
      <c r="B11" s="7" t="s">
        <v>88</v>
      </c>
      <c r="C11" s="2">
        <v>2246</v>
      </c>
      <c r="D11" s="3">
        <v>2240</v>
      </c>
      <c r="E11" s="2">
        <v>1320000</v>
      </c>
      <c r="F11" s="2">
        <f t="shared" ref="F11" si="2">C11*D11</f>
        <v>5031040</v>
      </c>
    </row>
    <row r="12" spans="2:6" x14ac:dyDescent="0.15">
      <c r="B12" s="7"/>
      <c r="C12" s="2"/>
      <c r="D12" s="32"/>
      <c r="E12" s="3"/>
      <c r="F12" s="3"/>
    </row>
    <row r="13" spans="2:6" x14ac:dyDescent="0.15">
      <c r="C13" s="85"/>
    </row>
    <row r="14" spans="2:6" x14ac:dyDescent="0.15">
      <c r="D14" s="4" t="s">
        <v>57</v>
      </c>
      <c r="E14" s="9">
        <f>SUM(E4:E11)</f>
        <v>15351000</v>
      </c>
      <c r="F14" s="9">
        <f>SUM(F4:F11)</f>
        <v>43505712</v>
      </c>
    </row>
    <row r="15" spans="2:6" ht="15.75" thickBot="1" x14ac:dyDescent="0.2"/>
    <row r="16" spans="2:6" x14ac:dyDescent="0.15">
      <c r="B16" s="138" t="s">
        <v>32</v>
      </c>
      <c r="C16" s="139"/>
      <c r="D16" s="5"/>
      <c r="E16" s="5"/>
      <c r="F16" s="5"/>
    </row>
    <row r="17" spans="2:13" x14ac:dyDescent="0.15">
      <c r="B17" s="72" t="s">
        <v>43</v>
      </c>
      <c r="C17" s="8">
        <v>703025</v>
      </c>
      <c r="E17" s="132">
        <v>31.9</v>
      </c>
      <c r="F17" s="5"/>
    </row>
    <row r="18" spans="2:13" x14ac:dyDescent="0.15">
      <c r="B18" s="72" t="s">
        <v>44</v>
      </c>
      <c r="C18" s="8">
        <v>-685931</v>
      </c>
      <c r="E18" s="5"/>
      <c r="F18" s="5"/>
    </row>
    <row r="19" spans="2:13" x14ac:dyDescent="0.15">
      <c r="B19" s="72" t="s">
        <v>45</v>
      </c>
      <c r="C19" s="8">
        <v>0</v>
      </c>
      <c r="E19" s="5"/>
      <c r="F19" s="5"/>
    </row>
    <row r="20" spans="2:13" ht="15.75" thickBot="1" x14ac:dyDescent="0.2">
      <c r="B20" s="73" t="s">
        <v>46</v>
      </c>
      <c r="C20" s="74">
        <f>SUM(C17:C19)</f>
        <v>17094</v>
      </c>
      <c r="F20" s="129">
        <f>F23+期貨!C4</f>
        <v>28171806</v>
      </c>
    </row>
    <row r="21" spans="2:13" ht="15.75" thickBot="1" x14ac:dyDescent="0.2">
      <c r="B21" s="75" t="s">
        <v>33</v>
      </c>
      <c r="C21" s="76">
        <v>0</v>
      </c>
      <c r="F21" s="23"/>
    </row>
    <row r="23" spans="2:13" x14ac:dyDescent="0.15">
      <c r="D23" s="6" t="s">
        <v>47</v>
      </c>
      <c r="E23" s="6"/>
      <c r="F23" s="10">
        <f>F14+C20+C21-E14</f>
        <v>28171806</v>
      </c>
    </row>
    <row r="25" spans="2:13" x14ac:dyDescent="0.15">
      <c r="F25" s="129"/>
    </row>
    <row r="26" spans="2:13" x14ac:dyDescent="0.15">
      <c r="F26" s="23"/>
    </row>
    <row r="27" spans="2:13" x14ac:dyDescent="0.15">
      <c r="D27" s="121">
        <f>SUM(D28:D43)</f>
        <v>0.99969000000000019</v>
      </c>
      <c r="H27" s="23">
        <f>(F23+期貨!C4)*0.67</f>
        <v>18875110.02</v>
      </c>
      <c r="K27" t="s">
        <v>60</v>
      </c>
      <c r="L27" t="s">
        <v>61</v>
      </c>
      <c r="M27" t="s">
        <v>62</v>
      </c>
    </row>
    <row r="28" spans="2:13" x14ac:dyDescent="0.15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1503.6464049640449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15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3">$H$27*F29/G29</f>
        <v>4675.0927525519646</v>
      </c>
      <c r="I29">
        <v>4</v>
      </c>
      <c r="J29">
        <f t="shared" ref="J29:J43" si="4">I29*G29</f>
        <v>1374</v>
      </c>
      <c r="K29">
        <v>4</v>
      </c>
      <c r="L29">
        <v>0</v>
      </c>
      <c r="M29">
        <v>0</v>
      </c>
    </row>
    <row r="30" spans="2:13" x14ac:dyDescent="0.15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3"/>
        <v>912.43997755772716</v>
      </c>
      <c r="I30">
        <v>1</v>
      </c>
      <c r="J30">
        <f t="shared" si="4"/>
        <v>1760</v>
      </c>
      <c r="K30">
        <v>1</v>
      </c>
      <c r="L30">
        <v>0</v>
      </c>
      <c r="M30">
        <v>0</v>
      </c>
    </row>
    <row r="31" spans="2:13" x14ac:dyDescent="0.15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3"/>
        <v>4128.2631375362462</v>
      </c>
      <c r="I31">
        <v>4</v>
      </c>
      <c r="J31">
        <f t="shared" si="4"/>
        <v>778</v>
      </c>
      <c r="K31">
        <v>4</v>
      </c>
      <c r="L31">
        <v>0</v>
      </c>
      <c r="M31">
        <v>0</v>
      </c>
    </row>
    <row r="32" spans="2:13" x14ac:dyDescent="0.15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3"/>
        <v>3136.512422854687</v>
      </c>
      <c r="I32">
        <v>3</v>
      </c>
      <c r="J32">
        <f t="shared" si="4"/>
        <v>768</v>
      </c>
      <c r="K32">
        <v>3</v>
      </c>
      <c r="L32">
        <v>0</v>
      </c>
      <c r="M32">
        <v>0</v>
      </c>
    </row>
    <row r="33" spans="2:13" x14ac:dyDescent="0.15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3"/>
        <v>6071.4342552045355</v>
      </c>
      <c r="I33">
        <v>5</v>
      </c>
      <c r="J33">
        <f t="shared" si="4"/>
        <v>1322.5</v>
      </c>
      <c r="K33">
        <v>5</v>
      </c>
      <c r="L33">
        <v>0</v>
      </c>
      <c r="M33">
        <v>0</v>
      </c>
    </row>
    <row r="34" spans="2:13" x14ac:dyDescent="0.15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3"/>
        <v>290.92289139521733</v>
      </c>
      <c r="I34">
        <v>0.3</v>
      </c>
      <c r="J34">
        <f t="shared" si="4"/>
        <v>1656</v>
      </c>
      <c r="K34">
        <v>0.3</v>
      </c>
      <c r="L34">
        <v>0</v>
      </c>
      <c r="M34">
        <v>0</v>
      </c>
    </row>
    <row r="35" spans="2:13" x14ac:dyDescent="0.15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3"/>
        <v>4014.7359012539991</v>
      </c>
      <c r="I35">
        <v>4</v>
      </c>
      <c r="J35">
        <f t="shared" si="4"/>
        <v>400</v>
      </c>
      <c r="K35">
        <v>4</v>
      </c>
      <c r="L35">
        <v>0</v>
      </c>
      <c r="M35">
        <v>0</v>
      </c>
    </row>
    <row r="36" spans="2:13" x14ac:dyDescent="0.15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3"/>
        <v>6635.9271095107424</v>
      </c>
      <c r="I36">
        <v>6</v>
      </c>
      <c r="J36">
        <f t="shared" si="4"/>
        <v>363</v>
      </c>
      <c r="K36">
        <v>6</v>
      </c>
      <c r="L36">
        <v>0</v>
      </c>
      <c r="M36">
        <v>0</v>
      </c>
    </row>
    <row r="37" spans="2:13" x14ac:dyDescent="0.15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3"/>
        <v>3666.4254805972596</v>
      </c>
      <c r="I37">
        <v>3</v>
      </c>
      <c r="J37">
        <f t="shared" si="4"/>
        <v>328.5</v>
      </c>
      <c r="K37">
        <v>3</v>
      </c>
      <c r="L37">
        <v>0</v>
      </c>
      <c r="M37">
        <v>0</v>
      </c>
    </row>
    <row r="38" spans="2:13" x14ac:dyDescent="0.15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3"/>
        <v>8661.7818797281543</v>
      </c>
      <c r="I38">
        <v>7</v>
      </c>
      <c r="J38">
        <f t="shared" si="4"/>
        <v>648.9</v>
      </c>
      <c r="K38">
        <v>7</v>
      </c>
      <c r="L38">
        <v>0</v>
      </c>
      <c r="M38">
        <v>0</v>
      </c>
    </row>
    <row r="39" spans="2:13" x14ac:dyDescent="0.15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3"/>
        <v>6152.8519559448268</v>
      </c>
      <c r="I39">
        <v>5</v>
      </c>
      <c r="J39">
        <f t="shared" si="4"/>
        <v>652.5</v>
      </c>
      <c r="K39">
        <v>5</v>
      </c>
      <c r="L39">
        <v>0</v>
      </c>
      <c r="M39">
        <v>0</v>
      </c>
    </row>
    <row r="40" spans="2:13" x14ac:dyDescent="0.15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3"/>
        <v>1103.7074642622679</v>
      </c>
      <c r="I40">
        <v>1</v>
      </c>
      <c r="J40">
        <f t="shared" si="4"/>
        <v>1455</v>
      </c>
      <c r="K40">
        <v>1</v>
      </c>
      <c r="L40">
        <v>0</v>
      </c>
      <c r="M40">
        <v>0</v>
      </c>
    </row>
    <row r="41" spans="2:13" x14ac:dyDescent="0.15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3"/>
        <v>967.40624126602393</v>
      </c>
      <c r="I41">
        <v>1</v>
      </c>
      <c r="J41">
        <f t="shared" si="4"/>
        <v>830</v>
      </c>
      <c r="K41">
        <v>1</v>
      </c>
      <c r="L41">
        <v>0</v>
      </c>
      <c r="M41">
        <v>0</v>
      </c>
    </row>
    <row r="42" spans="2:13" x14ac:dyDescent="0.15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3"/>
        <v>3552.8636294283178</v>
      </c>
      <c r="I42">
        <v>3</v>
      </c>
      <c r="J42">
        <f t="shared" si="4"/>
        <v>678</v>
      </c>
      <c r="K42">
        <v>3</v>
      </c>
      <c r="L42">
        <v>0</v>
      </c>
      <c r="M42">
        <v>0</v>
      </c>
    </row>
    <row r="43" spans="2:13" x14ac:dyDescent="0.15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3"/>
        <v>834.66442853513502</v>
      </c>
      <c r="I43">
        <v>1</v>
      </c>
      <c r="J43">
        <f t="shared" si="4"/>
        <v>962</v>
      </c>
      <c r="K43">
        <v>1</v>
      </c>
      <c r="L43">
        <v>0</v>
      </c>
      <c r="M43">
        <v>0</v>
      </c>
    </row>
    <row r="46" spans="2:13" x14ac:dyDescent="0.15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2026-10-06T07:04:17Z</dcterms:modified>
  <cp:category/>
  <cp:contentStatus/>
</cp:coreProperties>
</file>