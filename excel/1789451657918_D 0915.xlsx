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PP\Desktop\記帳新\D\202609\"/>
    </mc:Choice>
  </mc:AlternateContent>
  <xr:revisionPtr revIDLastSave="0" documentId="13_ncr:1_{76075D24-D2CE-4C3A-8FCB-53A49567F30A}" xr6:coauthVersionLast="47" xr6:coauthVersionMax="47" xr10:uidLastSave="{00000000-0000-0000-0000-000000000000}"/>
  <bookViews>
    <workbookView xWindow="-120" yWindow="-120" windowWidth="29040" windowHeight="15840" tabRatio="922" firstSheet="1" activeTab="1" xr2:uid="{00000000-000D-0000-FFFF-FFFF00000000}"/>
  </bookViews>
  <sheets>
    <sheet name="工作表1" sheetId="35" state="hidden" r:id="rId1"/>
    <sheet name="總表" sheetId="36" r:id="rId2"/>
    <sheet name="按股票分類" sheetId="17" r:id="rId3"/>
    <sheet name="帳戶" sheetId="2" r:id="rId4"/>
    <sheet name="期貨" sheetId="37" r:id="rId5"/>
  </sheets>
  <externalReferences>
    <externalReference r:id="rId6"/>
  </externalReferences>
  <definedNames>
    <definedName name="_xlnm._FilterDatabase" localSheetId="2" hidden="1">按股票分類!$C$2:$O$23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7" i="36" l="1"/>
  <c r="L177" i="36"/>
  <c r="F11" i="17"/>
  <c r="D11" i="17"/>
  <c r="D8" i="2"/>
  <c r="F8" i="2" s="1"/>
  <c r="D12" i="2"/>
  <c r="F12" i="2" s="1"/>
  <c r="D5" i="17" s="1"/>
  <c r="D11" i="2"/>
  <c r="F11" i="2" s="1"/>
  <c r="D7" i="17" s="1"/>
  <c r="D10" i="2"/>
  <c r="F10" i="2" s="1"/>
  <c r="D8" i="17" s="1"/>
  <c r="D9" i="2"/>
  <c r="F9" i="2" s="1"/>
  <c r="D9" i="17" s="1"/>
  <c r="D7" i="2"/>
  <c r="F7" i="2" s="1"/>
  <c r="D10" i="17" s="1"/>
  <c r="D6" i="2"/>
  <c r="F6" i="2" s="1"/>
  <c r="D6" i="17" s="1"/>
  <c r="D5" i="2"/>
  <c r="F5" i="2" s="1"/>
  <c r="D4" i="17" s="1"/>
  <c r="D4" i="2"/>
  <c r="F4" i="2" s="1"/>
  <c r="C21" i="2"/>
  <c r="D16" i="17"/>
  <c r="H16" i="17" s="1"/>
  <c r="J16" i="17" s="1"/>
  <c r="F6" i="17"/>
  <c r="F3" i="17"/>
  <c r="F7" i="17"/>
  <c r="D18" i="17"/>
  <c r="D17" i="17"/>
  <c r="H17" i="17" s="1"/>
  <c r="J17" i="17" s="1"/>
  <c r="E10" i="2"/>
  <c r="F8" i="17" s="1"/>
  <c r="E9" i="2"/>
  <c r="F9" i="17" s="1"/>
  <c r="R177" i="36"/>
  <c r="Q177" i="36"/>
  <c r="I7" i="36"/>
  <c r="J7" i="36"/>
  <c r="P177" i="36"/>
  <c r="G7" i="36"/>
  <c r="O177" i="36"/>
  <c r="R174" i="36"/>
  <c r="Q174" i="36"/>
  <c r="P174" i="36"/>
  <c r="O174" i="36"/>
  <c r="N174" i="36"/>
  <c r="R173" i="36"/>
  <c r="Q173" i="36"/>
  <c r="P173" i="36"/>
  <c r="O173" i="36"/>
  <c r="N173" i="36"/>
  <c r="R172" i="36"/>
  <c r="Q172" i="36"/>
  <c r="P172" i="36"/>
  <c r="O172" i="36"/>
  <c r="N172" i="36"/>
  <c r="R171" i="36"/>
  <c r="Q171" i="36"/>
  <c r="P171" i="36"/>
  <c r="O171" i="36"/>
  <c r="C171" i="36"/>
  <c r="N171" i="36"/>
  <c r="R170" i="36"/>
  <c r="Q170" i="36"/>
  <c r="P170" i="36"/>
  <c r="O170" i="36"/>
  <c r="N170" i="36"/>
  <c r="R169" i="36"/>
  <c r="Q169" i="36"/>
  <c r="P169" i="36"/>
  <c r="O169" i="36"/>
  <c r="N169" i="36"/>
  <c r="R168" i="36"/>
  <c r="Q168" i="36"/>
  <c r="P168" i="36"/>
  <c r="O168" i="36"/>
  <c r="N168" i="36"/>
  <c r="R167" i="36"/>
  <c r="Q167" i="36"/>
  <c r="P167" i="36"/>
  <c r="O167" i="36"/>
  <c r="N167" i="36"/>
  <c r="R166" i="36"/>
  <c r="Q166" i="36"/>
  <c r="P166" i="36"/>
  <c r="O166" i="36"/>
  <c r="N166" i="36"/>
  <c r="R165" i="36"/>
  <c r="Q165" i="36"/>
  <c r="P165" i="36"/>
  <c r="O165" i="36"/>
  <c r="N165" i="36"/>
  <c r="R164" i="36"/>
  <c r="Q164" i="36"/>
  <c r="P164" i="36"/>
  <c r="O164" i="36"/>
  <c r="N164" i="36"/>
  <c r="R163" i="36"/>
  <c r="Q163" i="36"/>
  <c r="N163" i="36"/>
  <c r="H18" i="17"/>
  <c r="J18" i="17" s="1"/>
  <c r="E5" i="2"/>
  <c r="E171" i="36"/>
  <c r="R162" i="36"/>
  <c r="Q162" i="36"/>
  <c r="N162" i="36"/>
  <c r="R161" i="36"/>
  <c r="Q161" i="36"/>
  <c r="N161" i="36"/>
  <c r="R160" i="36"/>
  <c r="Q160" i="36"/>
  <c r="N160" i="36"/>
  <c r="R159" i="36"/>
  <c r="Q159" i="36"/>
  <c r="N159" i="36"/>
  <c r="R158" i="36"/>
  <c r="Q158" i="36"/>
  <c r="N158" i="36"/>
  <c r="R157" i="36"/>
  <c r="Q157" i="36"/>
  <c r="N157" i="36"/>
  <c r="I12" i="17"/>
  <c r="G12" i="17"/>
  <c r="E12" i="2"/>
  <c r="F5" i="17" s="1"/>
  <c r="R156" i="36"/>
  <c r="Q156" i="36"/>
  <c r="N156" i="36"/>
  <c r="R155" i="36"/>
  <c r="Q155" i="36"/>
  <c r="N155" i="36"/>
  <c r="R154" i="36"/>
  <c r="Q154" i="36"/>
  <c r="N154" i="36"/>
  <c r="R153" i="36"/>
  <c r="Q153" i="36"/>
  <c r="N153" i="36"/>
  <c r="R152" i="36"/>
  <c r="Q152" i="36"/>
  <c r="N152" i="36"/>
  <c r="R151" i="36"/>
  <c r="Q151" i="36"/>
  <c r="N151" i="36"/>
  <c r="R150" i="36"/>
  <c r="Q150" i="36"/>
  <c r="N150" i="36"/>
  <c r="R149" i="36"/>
  <c r="Q149" i="36"/>
  <c r="N149" i="36"/>
  <c r="R148" i="36"/>
  <c r="Q148" i="36"/>
  <c r="N148" i="36"/>
  <c r="R147" i="36"/>
  <c r="Q147" i="36"/>
  <c r="N147" i="36"/>
  <c r="R146" i="36"/>
  <c r="Q146" i="36"/>
  <c r="N146" i="36"/>
  <c r="R145" i="36"/>
  <c r="Q145" i="36"/>
  <c r="N145" i="36"/>
  <c r="R144" i="36"/>
  <c r="Q144" i="36"/>
  <c r="N144" i="36"/>
  <c r="R143" i="36"/>
  <c r="Q143" i="36"/>
  <c r="N143" i="36"/>
  <c r="R142" i="36"/>
  <c r="Q142" i="36"/>
  <c r="N142" i="36"/>
  <c r="R141" i="36"/>
  <c r="Q141" i="36"/>
  <c r="N141" i="36"/>
  <c r="R140" i="36"/>
  <c r="Q140" i="36"/>
  <c r="N140" i="36"/>
  <c r="R139" i="36"/>
  <c r="Q139" i="36"/>
  <c r="N139" i="36"/>
  <c r="R138" i="36"/>
  <c r="Q138" i="36"/>
  <c r="N138" i="36"/>
  <c r="R137" i="36"/>
  <c r="Q137" i="36"/>
  <c r="N137" i="36"/>
  <c r="R136" i="36"/>
  <c r="Q136" i="36"/>
  <c r="N136" i="36"/>
  <c r="E143" i="36"/>
  <c r="R133" i="36"/>
  <c r="Q133" i="36"/>
  <c r="C133" i="36"/>
  <c r="N133" i="36"/>
  <c r="E133" i="36"/>
  <c r="R132" i="36"/>
  <c r="Q132" i="36"/>
  <c r="N132" i="36"/>
  <c r="R131" i="36"/>
  <c r="Q131" i="36"/>
  <c r="N131" i="36"/>
  <c r="R130" i="36"/>
  <c r="Q130" i="36"/>
  <c r="N130" i="36"/>
  <c r="R129" i="36"/>
  <c r="Q129" i="36"/>
  <c r="N129" i="36"/>
  <c r="R128" i="36"/>
  <c r="Q128" i="36"/>
  <c r="C128" i="36"/>
  <c r="R127" i="36"/>
  <c r="Q127" i="36"/>
  <c r="N127" i="36"/>
  <c r="E128" i="36"/>
  <c r="R126" i="36"/>
  <c r="Q126" i="36"/>
  <c r="N126" i="36"/>
  <c r="R125" i="36"/>
  <c r="Q125" i="36"/>
  <c r="N125" i="36"/>
  <c r="R124" i="36"/>
  <c r="Q124" i="36"/>
  <c r="N124" i="36"/>
  <c r="R123" i="36"/>
  <c r="Q123" i="36"/>
  <c r="N123" i="36"/>
  <c r="R122" i="36"/>
  <c r="Q122" i="36"/>
  <c r="N122" i="36"/>
  <c r="E36" i="36"/>
  <c r="E68" i="36"/>
  <c r="R121" i="36"/>
  <c r="Q121" i="36"/>
  <c r="N121" i="36"/>
  <c r="R120" i="36"/>
  <c r="Q120" i="36"/>
  <c r="N120" i="36"/>
  <c r="R119" i="36"/>
  <c r="Q119" i="36"/>
  <c r="N119" i="36"/>
  <c r="R118" i="36"/>
  <c r="Q118" i="36"/>
  <c r="N118" i="36"/>
  <c r="R117" i="36"/>
  <c r="Q117" i="36"/>
  <c r="N117" i="36"/>
  <c r="R116" i="36"/>
  <c r="Q116" i="36"/>
  <c r="N116" i="36"/>
  <c r="R115" i="36"/>
  <c r="Q115" i="36"/>
  <c r="N115" i="36"/>
  <c r="R114" i="36"/>
  <c r="Q114" i="36"/>
  <c r="N114" i="36"/>
  <c r="R113" i="36"/>
  <c r="Q113" i="36"/>
  <c r="N113" i="36"/>
  <c r="R112" i="36"/>
  <c r="Q112" i="36"/>
  <c r="N112" i="36"/>
  <c r="R111" i="36"/>
  <c r="Q111" i="36"/>
  <c r="N111" i="36"/>
  <c r="R110" i="36"/>
  <c r="Q110" i="36"/>
  <c r="N110" i="36"/>
  <c r="R109" i="36"/>
  <c r="Q109" i="36"/>
  <c r="N109" i="36"/>
  <c r="R108" i="36"/>
  <c r="Q108" i="36"/>
  <c r="N108" i="36"/>
  <c r="R107" i="36"/>
  <c r="Q107" i="36"/>
  <c r="N107" i="36"/>
  <c r="R106" i="36"/>
  <c r="Q106" i="36"/>
  <c r="N106" i="36"/>
  <c r="R105" i="36"/>
  <c r="Q105" i="36"/>
  <c r="N105" i="36"/>
  <c r="R104" i="36"/>
  <c r="Q104" i="36"/>
  <c r="N104" i="36"/>
  <c r="R103" i="36"/>
  <c r="Q103" i="36"/>
  <c r="N103" i="36"/>
  <c r="R102" i="36"/>
  <c r="Q102" i="36"/>
  <c r="N102" i="36"/>
  <c r="R101" i="36"/>
  <c r="Q101" i="36"/>
  <c r="N101" i="36"/>
  <c r="R100" i="36"/>
  <c r="Q100" i="36"/>
  <c r="N100" i="36"/>
  <c r="R99" i="36"/>
  <c r="Q99" i="36"/>
  <c r="N99" i="36"/>
  <c r="R98" i="36"/>
  <c r="Q98" i="36"/>
  <c r="N98" i="36"/>
  <c r="R97" i="36"/>
  <c r="Q97" i="36"/>
  <c r="N97" i="36"/>
  <c r="R96" i="36"/>
  <c r="Q96" i="36"/>
  <c r="N96" i="36"/>
  <c r="R95" i="36"/>
  <c r="Q95" i="36"/>
  <c r="N95" i="36"/>
  <c r="R94" i="36"/>
  <c r="Q94" i="36"/>
  <c r="N94" i="36"/>
  <c r="R93" i="36"/>
  <c r="Q93" i="36"/>
  <c r="N93" i="36"/>
  <c r="R92" i="36"/>
  <c r="Q92" i="36"/>
  <c r="N92" i="36"/>
  <c r="R91" i="36"/>
  <c r="Q91" i="36"/>
  <c r="N91" i="36"/>
  <c r="R90" i="36"/>
  <c r="Q90" i="36"/>
  <c r="N90" i="36"/>
  <c r="R89" i="36"/>
  <c r="Q89" i="36"/>
  <c r="N89" i="36"/>
  <c r="R88" i="36"/>
  <c r="Q88" i="36"/>
  <c r="N88" i="36"/>
  <c r="R87" i="36"/>
  <c r="Q87" i="36"/>
  <c r="N87" i="36"/>
  <c r="R86" i="36"/>
  <c r="Q86" i="36"/>
  <c r="N86" i="36"/>
  <c r="R85" i="36"/>
  <c r="Q85" i="36"/>
  <c r="N85" i="36"/>
  <c r="R84" i="36"/>
  <c r="Q84" i="36"/>
  <c r="N84" i="36"/>
  <c r="R83" i="36"/>
  <c r="Q83" i="36"/>
  <c r="N83" i="36"/>
  <c r="R81" i="36"/>
  <c r="Q81" i="36"/>
  <c r="N81" i="36"/>
  <c r="R80" i="36"/>
  <c r="Q80" i="36"/>
  <c r="N80" i="36"/>
  <c r="R79" i="36"/>
  <c r="Q79" i="36"/>
  <c r="N79" i="36"/>
  <c r="R78" i="36"/>
  <c r="Q78" i="36"/>
  <c r="N78" i="36"/>
  <c r="R77" i="36"/>
  <c r="Q77" i="36"/>
  <c r="N77" i="36"/>
  <c r="R76" i="36"/>
  <c r="Q76" i="36"/>
  <c r="N76" i="36"/>
  <c r="R75" i="36"/>
  <c r="Q75" i="36"/>
  <c r="N75" i="36"/>
  <c r="R74" i="36"/>
  <c r="Q74" i="36"/>
  <c r="N74" i="36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R82" i="36"/>
  <c r="Q82" i="36"/>
  <c r="N82" i="36"/>
  <c r="R73" i="36"/>
  <c r="Q73" i="36"/>
  <c r="N73" i="36"/>
  <c r="R72" i="36"/>
  <c r="Q72" i="36"/>
  <c r="N72" i="36"/>
  <c r="R71" i="36"/>
  <c r="Q71" i="36"/>
  <c r="N71" i="36"/>
  <c r="R70" i="36"/>
  <c r="Q70" i="36"/>
  <c r="N70" i="36"/>
  <c r="R69" i="36"/>
  <c r="Q69" i="36"/>
  <c r="N69" i="36"/>
  <c r="R68" i="36"/>
  <c r="Q68" i="36"/>
  <c r="R67" i="36"/>
  <c r="Q67" i="36"/>
  <c r="N67" i="36"/>
  <c r="R66" i="36"/>
  <c r="Q66" i="36"/>
  <c r="N66" i="36"/>
  <c r="R65" i="36"/>
  <c r="Q65" i="36"/>
  <c r="N65" i="36"/>
  <c r="C68" i="36"/>
  <c r="N68" i="36"/>
  <c r="R64" i="36"/>
  <c r="Q64" i="36"/>
  <c r="N64" i="36"/>
  <c r="R63" i="36"/>
  <c r="Q63" i="36"/>
  <c r="N63" i="36"/>
  <c r="R62" i="36"/>
  <c r="Q62" i="36"/>
  <c r="N62" i="36"/>
  <c r="R61" i="36"/>
  <c r="Q61" i="36"/>
  <c r="N61" i="36"/>
  <c r="R60" i="36"/>
  <c r="Q60" i="36"/>
  <c r="N60" i="36"/>
  <c r="R59" i="36"/>
  <c r="Q59" i="36"/>
  <c r="N59" i="36"/>
  <c r="R58" i="36"/>
  <c r="Q58" i="36"/>
  <c r="N58" i="36"/>
  <c r="R57" i="36"/>
  <c r="Q57" i="36"/>
  <c r="N57" i="36"/>
  <c r="R56" i="36"/>
  <c r="Q56" i="36"/>
  <c r="N56" i="36"/>
  <c r="C6" i="37"/>
  <c r="R55" i="36"/>
  <c r="Q55" i="36"/>
  <c r="N55" i="36"/>
  <c r="R54" i="36"/>
  <c r="Q54" i="36"/>
  <c r="N54" i="36"/>
  <c r="R53" i="36"/>
  <c r="Q53" i="36"/>
  <c r="N53" i="36"/>
  <c r="R52" i="36"/>
  <c r="Q52" i="36"/>
  <c r="N52" i="36"/>
  <c r="R51" i="36"/>
  <c r="Q51" i="36"/>
  <c r="N51" i="36"/>
  <c r="R50" i="36"/>
  <c r="Q50" i="36"/>
  <c r="N50" i="36"/>
  <c r="R49" i="36"/>
  <c r="Q49" i="36"/>
  <c r="N49" i="36"/>
  <c r="R48" i="36"/>
  <c r="Q48" i="36"/>
  <c r="N48" i="36"/>
  <c r="R47" i="36"/>
  <c r="Q47" i="36"/>
  <c r="N47" i="36"/>
  <c r="R46" i="36"/>
  <c r="Q46" i="36"/>
  <c r="N46" i="36"/>
  <c r="R45" i="36"/>
  <c r="Q45" i="36"/>
  <c r="N45" i="36"/>
  <c r="R44" i="36"/>
  <c r="Q44" i="36"/>
  <c r="N44" i="36"/>
  <c r="R43" i="36"/>
  <c r="Q43" i="36"/>
  <c r="N43" i="36"/>
  <c r="I47" i="2"/>
  <c r="R42" i="36"/>
  <c r="Q42" i="36"/>
  <c r="N42" i="36"/>
  <c r="R41" i="36"/>
  <c r="Q41" i="36"/>
  <c r="N41" i="36"/>
  <c r="R40" i="36"/>
  <c r="Q40" i="36"/>
  <c r="N40" i="36"/>
  <c r="R39" i="36"/>
  <c r="Q39" i="36"/>
  <c r="N39" i="36"/>
  <c r="R38" i="36"/>
  <c r="Q38" i="36"/>
  <c r="N38" i="36"/>
  <c r="R37" i="36"/>
  <c r="Q37" i="36"/>
  <c r="N37" i="36"/>
  <c r="R36" i="36"/>
  <c r="Q36" i="36"/>
  <c r="R35" i="36"/>
  <c r="Q35" i="36"/>
  <c r="N35" i="36"/>
  <c r="R34" i="36"/>
  <c r="Q34" i="36"/>
  <c r="N34" i="36"/>
  <c r="R33" i="36"/>
  <c r="Q33" i="36"/>
  <c r="N33" i="36"/>
  <c r="R32" i="36"/>
  <c r="Q32" i="36"/>
  <c r="N32" i="36"/>
  <c r="R31" i="36"/>
  <c r="Q31" i="36"/>
  <c r="N31" i="36"/>
  <c r="C36" i="36"/>
  <c r="N36" i="36"/>
  <c r="R30" i="36"/>
  <c r="Q30" i="36"/>
  <c r="N30" i="36"/>
  <c r="D28" i="2"/>
  <c r="R29" i="36"/>
  <c r="Q29" i="36"/>
  <c r="N29" i="36"/>
  <c r="R28" i="36"/>
  <c r="Q28" i="36"/>
  <c r="N28" i="36"/>
  <c r="R27" i="36"/>
  <c r="Q27" i="36"/>
  <c r="N27" i="36"/>
  <c r="R26" i="36"/>
  <c r="Q26" i="36"/>
  <c r="N26" i="36"/>
  <c r="R25" i="36"/>
  <c r="Q25" i="36"/>
  <c r="N25" i="36"/>
  <c r="R24" i="36"/>
  <c r="Q24" i="36"/>
  <c r="N24" i="36"/>
  <c r="R23" i="36"/>
  <c r="Q23" i="36"/>
  <c r="N23" i="36"/>
  <c r="R22" i="36"/>
  <c r="Q22" i="36"/>
  <c r="N22" i="36"/>
  <c r="R21" i="36"/>
  <c r="Q21" i="36"/>
  <c r="N21" i="36"/>
  <c r="N19" i="36"/>
  <c r="Q19" i="36"/>
  <c r="R19" i="36"/>
  <c r="N20" i="36"/>
  <c r="Q20" i="36"/>
  <c r="R20" i="36"/>
  <c r="R18" i="36"/>
  <c r="Q18" i="36"/>
  <c r="N18" i="36"/>
  <c r="R17" i="36"/>
  <c r="Q17" i="36"/>
  <c r="N17" i="36"/>
  <c r="R16" i="36"/>
  <c r="Q16" i="36"/>
  <c r="N16" i="36"/>
  <c r="R15" i="36"/>
  <c r="Q15" i="36"/>
  <c r="N15" i="36"/>
  <c r="R14" i="36"/>
  <c r="Q14" i="36"/>
  <c r="N14" i="36"/>
  <c r="R13" i="36"/>
  <c r="Q13" i="36"/>
  <c r="N13" i="36"/>
  <c r="R12" i="36"/>
  <c r="Q12" i="36"/>
  <c r="N12" i="36"/>
  <c r="R11" i="36"/>
  <c r="Q11" i="36"/>
  <c r="N11" i="36"/>
  <c r="R10" i="36"/>
  <c r="Q10" i="36"/>
  <c r="N10" i="36"/>
  <c r="R9" i="36"/>
  <c r="Q9" i="36"/>
  <c r="N9" i="36"/>
  <c r="R8" i="36"/>
  <c r="Q8" i="36"/>
  <c r="N8" i="36"/>
  <c r="J29" i="2"/>
  <c r="O14" i="17"/>
  <c r="H13" i="17"/>
  <c r="J13" i="17" s="1"/>
  <c r="O13" i="17"/>
  <c r="D14" i="17"/>
  <c r="G14" i="17"/>
  <c r="S7" i="36"/>
  <c r="T7" i="36"/>
  <c r="B3" i="36"/>
  <c r="O156" i="36"/>
  <c r="O155" i="36"/>
  <c r="O154" i="36"/>
  <c r="O153" i="36"/>
  <c r="O89" i="36"/>
  <c r="O86" i="36"/>
  <c r="O45" i="36"/>
  <c r="O76" i="36"/>
  <c r="O39" i="36"/>
  <c r="O81" i="36"/>
  <c r="O151" i="36"/>
  <c r="O87" i="36"/>
  <c r="O38" i="36"/>
  <c r="O63" i="36"/>
  <c r="O35" i="36"/>
  <c r="O136" i="36"/>
  <c r="O110" i="36"/>
  <c r="O107" i="36"/>
  <c r="O99" i="36"/>
  <c r="O59" i="36"/>
  <c r="O150" i="36"/>
  <c r="O72" i="36"/>
  <c r="O97" i="36"/>
  <c r="O149" i="36"/>
  <c r="O83" i="36"/>
  <c r="O138" i="36"/>
  <c r="O103" i="36"/>
  <c r="O117" i="36"/>
  <c r="O120" i="36"/>
  <c r="O12" i="36"/>
  <c r="O84" i="36"/>
  <c r="O47" i="36"/>
  <c r="O105" i="36"/>
  <c r="O70" i="36"/>
  <c r="O111" i="36"/>
  <c r="O42" i="36"/>
  <c r="O17" i="36"/>
  <c r="O32" i="36"/>
  <c r="O66" i="36"/>
  <c r="O20" i="36"/>
  <c r="O104" i="36"/>
  <c r="O64" i="36"/>
  <c r="O122" i="36"/>
  <c r="O77" i="36"/>
  <c r="O62" i="36"/>
  <c r="O141" i="36"/>
  <c r="O53" i="36"/>
  <c r="O137" i="36"/>
  <c r="O126" i="36"/>
  <c r="O108" i="36"/>
  <c r="O100" i="36"/>
  <c r="O9" i="36"/>
  <c r="O16" i="36"/>
  <c r="O82" i="36"/>
  <c r="O98" i="36"/>
  <c r="O147" i="36"/>
  <c r="O73" i="36"/>
  <c r="O106" i="36"/>
  <c r="O118" i="36"/>
  <c r="O115" i="36"/>
  <c r="O121" i="36"/>
  <c r="O30" i="36"/>
  <c r="O44" i="36"/>
  <c r="O60" i="36"/>
  <c r="O14" i="36"/>
  <c r="O85" i="36"/>
  <c r="O91" i="36"/>
  <c r="O94" i="36"/>
  <c r="O51" i="36"/>
  <c r="O50" i="36"/>
  <c r="O125" i="36"/>
  <c r="O37" i="36"/>
  <c r="O27" i="36"/>
  <c r="O21" i="36"/>
  <c r="O11" i="36"/>
  <c r="O24" i="36"/>
  <c r="O40" i="36"/>
  <c r="O13" i="36"/>
  <c r="O26" i="36"/>
  <c r="O113" i="36"/>
  <c r="O146" i="36"/>
  <c r="O142" i="36"/>
  <c r="O57" i="36"/>
  <c r="O71" i="36"/>
  <c r="O41" i="36"/>
  <c r="O140" i="36"/>
  <c r="O75" i="36"/>
  <c r="O19" i="36"/>
  <c r="O90" i="36"/>
  <c r="O68" i="36"/>
  <c r="O102" i="36"/>
  <c r="O123" i="36"/>
  <c r="O33" i="36"/>
  <c r="O145" i="36"/>
  <c r="O144" i="36"/>
  <c r="O132" i="36"/>
  <c r="O131" i="36"/>
  <c r="O130" i="36"/>
  <c r="O129" i="36"/>
  <c r="O112" i="36"/>
  <c r="O148" i="36"/>
  <c r="O48" i="36"/>
  <c r="O127" i="36"/>
  <c r="O160" i="36"/>
  <c r="O159" i="36"/>
  <c r="P85" i="36"/>
  <c r="P75" i="36"/>
  <c r="P78" i="36"/>
  <c r="P69" i="36"/>
  <c r="P74" i="36"/>
  <c r="P54" i="36"/>
  <c r="P106" i="36"/>
  <c r="P114" i="36"/>
  <c r="P17" i="36"/>
  <c r="P146" i="36"/>
  <c r="P100" i="36"/>
  <c r="P87" i="36"/>
  <c r="P110" i="36"/>
  <c r="P50" i="36"/>
  <c r="P136" i="36"/>
  <c r="P152" i="36"/>
  <c r="P82" i="36"/>
  <c r="P143" i="36"/>
  <c r="P70" i="36"/>
  <c r="P137" i="36"/>
  <c r="P97" i="36"/>
  <c r="P66" i="36"/>
  <c r="P43" i="36"/>
  <c r="P22" i="36"/>
  <c r="P76" i="36"/>
  <c r="P133" i="36"/>
  <c r="P20" i="36"/>
  <c r="P132" i="36"/>
  <c r="P47" i="36"/>
  <c r="P24" i="36"/>
  <c r="P116" i="36"/>
  <c r="P36" i="36"/>
  <c r="P109" i="36"/>
  <c r="P33" i="36"/>
  <c r="P148" i="36"/>
  <c r="P83" i="36"/>
  <c r="P51" i="36"/>
  <c r="P8" i="36"/>
  <c r="P48" i="36"/>
  <c r="P128" i="36"/>
  <c r="P19" i="36"/>
  <c r="P26" i="36"/>
  <c r="P115" i="36"/>
  <c r="P52" i="36"/>
  <c r="P144" i="36"/>
  <c r="P32" i="36"/>
  <c r="P117" i="36"/>
  <c r="P94" i="36"/>
  <c r="P12" i="36"/>
  <c r="P16" i="36"/>
  <c r="P107" i="36"/>
  <c r="P88" i="36"/>
  <c r="P98" i="36"/>
  <c r="P102" i="36"/>
  <c r="P138" i="36"/>
  <c r="P65" i="36"/>
  <c r="P55" i="36"/>
  <c r="P153" i="36"/>
  <c r="P31" i="36"/>
  <c r="P108" i="36"/>
  <c r="P147" i="36"/>
  <c r="P141" i="36"/>
  <c r="P53" i="36"/>
  <c r="P104" i="36"/>
  <c r="P118" i="36"/>
  <c r="O65" i="36"/>
  <c r="O36" i="36"/>
  <c r="O15" i="36"/>
  <c r="O55" i="36"/>
  <c r="O80" i="36"/>
  <c r="O67" i="36"/>
  <c r="O49" i="36"/>
  <c r="O34" i="36"/>
  <c r="O133" i="36"/>
  <c r="P9" i="36"/>
  <c r="P163" i="36"/>
  <c r="P142" i="36"/>
  <c r="P126" i="36"/>
  <c r="P129" i="36"/>
  <c r="P162" i="36"/>
  <c r="P161" i="36"/>
  <c r="P46" i="36"/>
  <c r="P77" i="36"/>
  <c r="P157" i="36"/>
  <c r="P30" i="36"/>
  <c r="P61" i="36"/>
  <c r="P56" i="36"/>
  <c r="P122" i="36"/>
  <c r="P121" i="36"/>
  <c r="P64" i="36"/>
  <c r="P41" i="36"/>
  <c r="P92" i="36"/>
  <c r="P124" i="36"/>
  <c r="P99" i="36"/>
  <c r="P79" i="36"/>
  <c r="P44" i="36"/>
  <c r="P38" i="36"/>
  <c r="P111" i="36"/>
  <c r="P23" i="36"/>
  <c r="P113" i="36"/>
  <c r="P131" i="36"/>
  <c r="P130" i="36"/>
  <c r="P149" i="36"/>
  <c r="O46" i="36"/>
  <c r="O56" i="36"/>
  <c r="O95" i="36"/>
  <c r="O96" i="36"/>
  <c r="O93" i="36"/>
  <c r="O43" i="36"/>
  <c r="O114" i="36"/>
  <c r="O28" i="36"/>
  <c r="O23" i="36"/>
  <c r="O162" i="36"/>
  <c r="O158" i="36"/>
  <c r="O157" i="36"/>
  <c r="O161" i="36"/>
  <c r="O29" i="36"/>
  <c r="O163" i="36"/>
  <c r="O74" i="36"/>
  <c r="O18" i="36"/>
  <c r="O79" i="36"/>
  <c r="O78" i="36"/>
  <c r="O152" i="36"/>
  <c r="O61" i="36"/>
  <c r="O124" i="36"/>
  <c r="O52" i="36"/>
  <c r="O139" i="36"/>
  <c r="O128" i="36"/>
  <c r="O109" i="36"/>
  <c r="O101" i="36"/>
  <c r="O8" i="36"/>
  <c r="O25" i="36"/>
  <c r="O22" i="36"/>
  <c r="O116" i="36"/>
  <c r="O88" i="36"/>
  <c r="O92" i="36"/>
  <c r="O10" i="36"/>
  <c r="O31" i="36"/>
  <c r="O69" i="36"/>
  <c r="O119" i="36"/>
  <c r="O143" i="36"/>
  <c r="O54" i="36"/>
  <c r="O58" i="36"/>
  <c r="P119" i="36"/>
  <c r="P140" i="36"/>
  <c r="P127" i="36"/>
  <c r="P18" i="36"/>
  <c r="P67" i="36"/>
  <c r="P49" i="36"/>
  <c r="P139" i="36"/>
  <c r="P150" i="36"/>
  <c r="P151" i="36"/>
  <c r="P155" i="36"/>
  <c r="P86" i="36"/>
  <c r="P95" i="36"/>
  <c r="P72" i="36"/>
  <c r="P120" i="36"/>
  <c r="P101" i="36"/>
  <c r="P90" i="36"/>
  <c r="P13" i="36"/>
  <c r="P35" i="36"/>
  <c r="P125" i="36"/>
  <c r="P59" i="36"/>
  <c r="P63" i="36"/>
  <c r="P91" i="36"/>
  <c r="P11" i="36"/>
  <c r="P89" i="36"/>
  <c r="P42" i="36"/>
  <c r="P71" i="36"/>
  <c r="P103" i="36"/>
  <c r="P81" i="36"/>
  <c r="P15" i="36"/>
  <c r="P84" i="36"/>
  <c r="P40" i="36"/>
  <c r="P27" i="36"/>
  <c r="P39" i="36"/>
  <c r="P57" i="36"/>
  <c r="P21" i="36"/>
  <c r="P68" i="36"/>
  <c r="P28" i="36"/>
  <c r="P73" i="36"/>
  <c r="P105" i="36"/>
  <c r="P60" i="36"/>
  <c r="P37" i="36"/>
  <c r="P156" i="36"/>
  <c r="P158" i="36"/>
  <c r="P34" i="36"/>
  <c r="P123" i="36"/>
  <c r="P96" i="36"/>
  <c r="P80" i="36"/>
  <c r="P58" i="36"/>
  <c r="P29" i="36"/>
  <c r="P159" i="36"/>
  <c r="P160" i="36"/>
  <c r="P45" i="36"/>
  <c r="P112" i="36"/>
  <c r="P62" i="36"/>
  <c r="P25" i="36"/>
  <c r="P10" i="36"/>
  <c r="P154" i="36"/>
  <c r="P93" i="36"/>
  <c r="P145" i="36"/>
  <c r="P14" i="36"/>
  <c r="N128" i="36"/>
  <c r="S171" i="36"/>
  <c r="G20" i="17" l="1"/>
  <c r="O11" i="17"/>
  <c r="H11" i="17"/>
  <c r="J11" i="17" s="1"/>
  <c r="H14" i="17"/>
  <c r="J14" i="17" s="1"/>
  <c r="E15" i="2"/>
  <c r="F4" i="17"/>
  <c r="F12" i="17" s="1"/>
  <c r="H6" i="17"/>
  <c r="J6" i="17" s="1"/>
  <c r="O6" i="17"/>
  <c r="H10" i="17"/>
  <c r="J10" i="17" s="1"/>
  <c r="O10" i="17"/>
  <c r="O4" i="17"/>
  <c r="H4" i="17"/>
  <c r="J4" i="17" s="1"/>
  <c r="H9" i="17"/>
  <c r="J9" i="17" s="1"/>
  <c r="O9" i="17"/>
  <c r="O8" i="17"/>
  <c r="H8" i="17"/>
  <c r="J8" i="17" s="1"/>
  <c r="O7" i="17"/>
  <c r="H7" i="17"/>
  <c r="J7" i="17" s="1"/>
  <c r="H5" i="17"/>
  <c r="J5" i="17" s="1"/>
  <c r="O5" i="17"/>
  <c r="D3" i="17"/>
  <c r="F15" i="2"/>
  <c r="F24" i="2" l="1"/>
  <c r="D12" i="17"/>
  <c r="H3" i="17"/>
  <c r="O3" i="17"/>
  <c r="O12" i="17" s="1"/>
  <c r="F21" i="2" l="1"/>
  <c r="H28" i="2"/>
  <c r="D19" i="17"/>
  <c r="K177" i="36"/>
  <c r="D20" i="17"/>
  <c r="E11" i="17" s="1"/>
  <c r="J3" i="17"/>
  <c r="H12" i="17"/>
  <c r="J12" i="17" s="1"/>
  <c r="H43" i="2" l="1"/>
  <c r="H41" i="2"/>
  <c r="H36" i="2"/>
  <c r="H42" i="2"/>
  <c r="H34" i="2"/>
  <c r="H35" i="2"/>
  <c r="H33" i="2"/>
  <c r="H32" i="2"/>
  <c r="H39" i="2"/>
  <c r="H40" i="2"/>
  <c r="H44" i="2"/>
  <c r="H29" i="2"/>
  <c r="H37" i="2"/>
  <c r="H31" i="2"/>
  <c r="H38" i="2"/>
  <c r="H30" i="2"/>
  <c r="E12" i="17"/>
  <c r="E2" i="36"/>
  <c r="E3" i="17"/>
  <c r="E17" i="17"/>
  <c r="E9" i="17"/>
  <c r="E8" i="17"/>
  <c r="E6" i="17"/>
  <c r="E16" i="17"/>
  <c r="E5" i="17"/>
  <c r="E10" i="17"/>
  <c r="D22" i="17"/>
  <c r="D23" i="17" s="1"/>
  <c r="E7" i="17"/>
  <c r="B2" i="36"/>
  <c r="E4" i="17"/>
  <c r="E20" i="17"/>
  <c r="H20" i="17"/>
  <c r="J20" i="17" s="1"/>
  <c r="E13" i="17"/>
  <c r="B177" i="36"/>
  <c r="E18" i="17"/>
  <c r="T177" i="36" l="1"/>
  <c r="E177" i="36"/>
  <c r="C177" i="36"/>
  <c r="N177" i="36" l="1"/>
  <c r="S177" i="36"/>
  <c r="D15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a29375503@live.com</author>
  </authors>
  <commentList>
    <comment ref="D3" authorId="0" shapeId="0" xr:uid="{00000000-0006-0000-0300-000001000000}">
      <text>
        <r>
          <rPr>
            <b/>
            <sz val="9"/>
            <color indexed="81"/>
            <rFont val="細明體"/>
            <family val="3"/>
            <charset val="136"/>
          </rPr>
          <t>備註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只須於此頁更新每日收盤價，所有頁籤皆會同步更新。</t>
        </r>
      </text>
    </comment>
  </commentList>
</comments>
</file>

<file path=xl/sharedStrings.xml><?xml version="1.0" encoding="utf-8"?>
<sst xmlns="http://schemas.openxmlformats.org/spreadsheetml/2006/main" count="121" uniqueCount="106">
  <si>
    <t>多空</t>
    <phoneticPr fontId="1" type="noConversion"/>
  </si>
  <si>
    <t>多</t>
    <phoneticPr fontId="1" type="noConversion"/>
  </si>
  <si>
    <t>空</t>
    <phoneticPr fontId="1" type="noConversion"/>
  </si>
  <si>
    <t>帳戶淨值</t>
    <phoneticPr fontId="19" type="noConversion"/>
  </si>
  <si>
    <t>持股水位</t>
    <phoneticPr fontId="19" type="noConversion"/>
  </si>
  <si>
    <t>日期</t>
    <phoneticPr fontId="19" type="noConversion"/>
  </si>
  <si>
    <t>12/31金額</t>
    <phoneticPr fontId="19" type="noConversion"/>
  </si>
  <si>
    <t>交易日期</t>
    <phoneticPr fontId="19" type="noConversion"/>
  </si>
  <si>
    <t>總淨值</t>
    <phoneticPr fontId="19" type="noConversion"/>
  </si>
  <si>
    <t>淨值</t>
  </si>
  <si>
    <t>股數</t>
  </si>
  <si>
    <t>單日損益</t>
    <phoneticPr fontId="19" type="noConversion"/>
  </si>
  <si>
    <t>自己淨值861</t>
    <phoneticPr fontId="19" type="noConversion"/>
  </si>
  <si>
    <t>家人淨值1981</t>
    <phoneticPr fontId="19" type="noConversion"/>
  </si>
  <si>
    <t>持股金額</t>
    <phoneticPr fontId="1" type="noConversion"/>
  </si>
  <si>
    <t>損益%YTD</t>
    <phoneticPr fontId="19" type="noConversion"/>
  </si>
  <si>
    <t>損益%YTD(自己)</t>
    <phoneticPr fontId="19" type="noConversion"/>
  </si>
  <si>
    <t>損益%YTD(家人)</t>
    <phoneticPr fontId="19" type="noConversion"/>
  </si>
  <si>
    <t>櫃買指數</t>
    <phoneticPr fontId="19" type="noConversion"/>
  </si>
  <si>
    <t>淨多單%</t>
    <phoneticPr fontId="19" type="noConversion"/>
  </si>
  <si>
    <t>指數期貨</t>
    <phoneticPr fontId="19" type="noConversion"/>
  </si>
  <si>
    <t xml:space="preserve"> </t>
    <phoneticPr fontId="1" type="noConversion"/>
  </si>
  <si>
    <t>股票</t>
    <phoneticPr fontId="1" type="noConversion"/>
  </si>
  <si>
    <t>今日融資金額</t>
    <phoneticPr fontId="1" type="noConversion"/>
  </si>
  <si>
    <t>昨日市值</t>
    <phoneticPr fontId="1" type="noConversion"/>
  </si>
  <si>
    <t>變化值</t>
    <phoneticPr fontId="1" type="noConversion"/>
  </si>
  <si>
    <t>昨日融資金額</t>
    <phoneticPr fontId="1" type="noConversion"/>
  </si>
  <si>
    <t>變化百分比</t>
    <phoneticPr fontId="1" type="noConversion"/>
  </si>
  <si>
    <t>類股</t>
    <phoneticPr fontId="1" type="noConversion"/>
  </si>
  <si>
    <t>價格上下波動10%對損益的影響</t>
    <phoneticPr fontId="1" type="noConversion"/>
  </si>
  <si>
    <t>Total</t>
    <phoneticPr fontId="1" type="noConversion"/>
  </si>
  <si>
    <t>check</t>
    <phoneticPr fontId="1" type="noConversion"/>
  </si>
  <si>
    <t>現金</t>
    <phoneticPr fontId="1" type="noConversion"/>
  </si>
  <si>
    <t>股利</t>
    <phoneticPr fontId="1" type="noConversion"/>
  </si>
  <si>
    <t>未發放股利</t>
    <phoneticPr fontId="1" type="noConversion"/>
  </si>
  <si>
    <t>昨日金額</t>
    <phoneticPr fontId="1" type="noConversion"/>
  </si>
  <si>
    <t>變化總量</t>
    <phoneticPr fontId="1" type="noConversion"/>
  </si>
  <si>
    <t>變化%</t>
    <phoneticPr fontId="1" type="noConversion"/>
  </si>
  <si>
    <r>
      <rPr>
        <sz val="12"/>
        <color theme="1"/>
        <rFont val="新細明體"/>
        <family val="2"/>
        <charset val="136"/>
      </rPr>
      <t>市值</t>
    </r>
    <phoneticPr fontId="1" type="noConversion"/>
  </si>
  <si>
    <r>
      <rPr>
        <sz val="12"/>
        <color theme="1"/>
        <rFont val="新細明體"/>
        <family val="2"/>
        <charset val="136"/>
      </rPr>
      <t>標的</t>
    </r>
    <phoneticPr fontId="1" type="noConversion"/>
  </si>
  <si>
    <r>
      <rPr>
        <sz val="12"/>
        <color theme="1"/>
        <rFont val="新細明體"/>
        <family val="2"/>
        <charset val="136"/>
      </rPr>
      <t>股數</t>
    </r>
    <phoneticPr fontId="1" type="noConversion"/>
  </si>
  <si>
    <r>
      <rPr>
        <sz val="12"/>
        <color theme="1"/>
        <rFont val="新細明體"/>
        <family val="2"/>
        <charset val="136"/>
      </rPr>
      <t>收盤價</t>
    </r>
    <phoneticPr fontId="1" type="noConversion"/>
  </si>
  <si>
    <t>融資金額</t>
    <phoneticPr fontId="1" type="noConversion"/>
  </si>
  <si>
    <r>
      <rPr>
        <sz val="12"/>
        <color theme="1"/>
        <rFont val="新細明體"/>
        <family val="2"/>
        <charset val="136"/>
      </rPr>
      <t>銀行餘額</t>
    </r>
    <phoneticPr fontId="1" type="noConversion"/>
  </si>
  <si>
    <t>T+1</t>
    <phoneticPr fontId="1" type="noConversion"/>
  </si>
  <si>
    <t>T+2</t>
    <phoneticPr fontId="1" type="noConversion"/>
  </si>
  <si>
    <r>
      <rPr>
        <sz val="12"/>
        <color theme="1"/>
        <rFont val="新細明體"/>
        <family val="2"/>
        <charset val="136"/>
      </rPr>
      <t>總計</t>
    </r>
    <phoneticPr fontId="1" type="noConversion"/>
  </si>
  <si>
    <t>權益總計</t>
    <phoneticPr fontId="1" type="noConversion"/>
  </si>
  <si>
    <t>加權報酬指數</t>
    <phoneticPr fontId="19" type="noConversion"/>
  </si>
  <si>
    <t>加權報酬%</t>
    <phoneticPr fontId="19" type="noConversion"/>
  </si>
  <si>
    <t>今日市值</t>
  </si>
  <si>
    <t>百分比</t>
    <phoneticPr fontId="1" type="noConversion"/>
  </si>
  <si>
    <t>股利</t>
  </si>
  <si>
    <t xml:space="preserve">                                                          </t>
    <phoneticPr fontId="1" type="noConversion"/>
  </si>
  <si>
    <t>月線乖離率</t>
  </si>
  <si>
    <t>股價</t>
  </si>
  <si>
    <t>月線(20MA)</t>
  </si>
  <si>
    <t>股票總計</t>
  </si>
  <si>
    <t>櫃買報酬指數</t>
    <phoneticPr fontId="1" type="noConversion"/>
  </si>
  <si>
    <t>DD</t>
    <phoneticPr fontId="19" type="noConversion"/>
  </si>
  <si>
    <t>開</t>
    <phoneticPr fontId="1" type="noConversion"/>
  </si>
  <si>
    <t>午</t>
    <phoneticPr fontId="1" type="noConversion"/>
  </si>
  <si>
    <t>收</t>
    <phoneticPr fontId="1" type="noConversion"/>
  </si>
  <si>
    <t>宜鼎</t>
    <phoneticPr fontId="1" type="noConversion"/>
  </si>
  <si>
    <t>權益數</t>
  </si>
  <si>
    <t>保證金</t>
    <phoneticPr fontId="1" type="noConversion"/>
  </si>
  <si>
    <t>權利金</t>
    <phoneticPr fontId="1" type="noConversion"/>
  </si>
  <si>
    <t>總計</t>
    <phoneticPr fontId="1" type="noConversion"/>
  </si>
  <si>
    <t>期貨(元大)</t>
    <phoneticPr fontId="1" type="noConversion"/>
  </si>
  <si>
    <t>群聯</t>
    <phoneticPr fontId="1" type="noConversion"/>
  </si>
  <si>
    <t>創見</t>
    <phoneticPr fontId="1" type="noConversion"/>
  </si>
  <si>
    <t>凌航</t>
    <phoneticPr fontId="1" type="noConversion"/>
  </si>
  <si>
    <t>宇瞻</t>
    <phoneticPr fontId="1" type="noConversion"/>
  </si>
  <si>
    <t>文曄</t>
    <phoneticPr fontId="1" type="noConversion"/>
  </si>
  <si>
    <t>川湖</t>
    <phoneticPr fontId="1" type="noConversion"/>
  </si>
  <si>
    <t>蔚華科</t>
    <phoneticPr fontId="1" type="noConversion"/>
  </si>
  <si>
    <t>全科</t>
    <phoneticPr fontId="1" type="noConversion"/>
  </si>
  <si>
    <t>廣穎</t>
    <phoneticPr fontId="1" type="noConversion"/>
  </si>
  <si>
    <t>凌華</t>
    <phoneticPr fontId="1" type="noConversion"/>
  </si>
  <si>
    <t>飛捷</t>
    <phoneticPr fontId="1" type="noConversion"/>
  </si>
  <si>
    <t>台燿</t>
    <phoneticPr fontId="1" type="noConversion"/>
  </si>
  <si>
    <t>聯友金屬</t>
    <phoneticPr fontId="1" type="noConversion"/>
  </si>
  <si>
    <t>巨有科技</t>
    <phoneticPr fontId="1" type="noConversion"/>
  </si>
  <si>
    <t>愛普</t>
    <phoneticPr fontId="1" type="noConversion"/>
  </si>
  <si>
    <t>生技醫療業</t>
  </si>
  <si>
    <t>仁新</t>
  </si>
  <si>
    <t>仁新(6696)</t>
  </si>
  <si>
    <t>凱基金</t>
  </si>
  <si>
    <t>台新新光金</t>
  </si>
  <si>
    <t>凱基金(2883)</t>
  </si>
  <si>
    <t>台新新光金(2887)</t>
  </si>
  <si>
    <t>金融</t>
  </si>
  <si>
    <t>緯穎</t>
  </si>
  <si>
    <t>緯穎(6669)</t>
  </si>
  <si>
    <t>富邦金</t>
    <phoneticPr fontId="1" type="noConversion"/>
  </si>
  <si>
    <t>金融</t>
    <phoneticPr fontId="1" type="noConversion"/>
  </si>
  <si>
    <t>富邦金(2881)</t>
    <phoneticPr fontId="1" type="noConversion"/>
  </si>
  <si>
    <t>CPO</t>
    <phoneticPr fontId="1" type="noConversion"/>
  </si>
  <si>
    <t>中華立鼎</t>
    <phoneticPr fontId="1" type="noConversion"/>
  </si>
  <si>
    <t>中華立鼎(7926)</t>
    <phoneticPr fontId="1" type="noConversion"/>
  </si>
  <si>
    <t>永豐金</t>
    <phoneticPr fontId="1" type="noConversion"/>
  </si>
  <si>
    <t>玉山金</t>
    <phoneticPr fontId="1" type="noConversion"/>
  </si>
  <si>
    <t>永豐金(2890)</t>
    <phoneticPr fontId="1" type="noConversion"/>
  </si>
  <si>
    <t>玉山金(2884)</t>
    <phoneticPr fontId="1" type="noConversion"/>
  </si>
  <si>
    <t>騰雲</t>
    <phoneticPr fontId="1" type="noConversion"/>
  </si>
  <si>
    <t>騰雲(6870)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</si>
</sst>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-* #,##0.00_-;\-* #,##0.00_-;_-* &quot;-&quot;_-;_-@_-"/>
    <numFmt numFmtId="178" formatCode="0.00_);[Red]\(0.00\)"/>
    <numFmt numFmtId="179" formatCode="0.0%"/>
    <numFmt numFmtId="180" formatCode="_-&quot;$&quot;* #,##0_-;\-&quot;$&quot;* #,##0_-;_-&quot;$&quot;* &quot;-&quot;??_-;_-@_-"/>
    <numFmt numFmtId="181" formatCode="_-* #,##0_-;\-* #,##0_-;_-* &quot;-&quot;??_-;_-@_-"/>
    <numFmt numFmtId="182" formatCode="0.0000_);[Red]\(0.0000\)"/>
  </numFmts>
  <fonts count="2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2"/>
      <charset val="136"/>
    </font>
    <font>
      <sz val="12"/>
      <color theme="1"/>
      <name val="細明體"/>
      <family val="3"/>
      <charset val="136"/>
    </font>
    <font>
      <b/>
      <sz val="12"/>
      <color theme="1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2"/>
      <scheme val="minor"/>
    </font>
    <font>
      <b/>
      <sz val="18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8"/>
      <color rgb="FFFF0000"/>
      <name val="Times New Roman"/>
      <family val="1"/>
    </font>
    <font>
      <b/>
      <sz val="18"/>
      <color theme="1"/>
      <name val="Times New Roman"/>
      <family val="1"/>
    </font>
    <font>
      <sz val="13"/>
      <color theme="1"/>
      <name val="新細明體"/>
      <family val="2"/>
      <scheme val="minor"/>
    </font>
    <font>
      <sz val="12"/>
      <name val="新細明體"/>
      <family val="1"/>
      <charset val="136"/>
      <scheme val="major"/>
    </font>
    <font>
      <b/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731">
    <xf numFmtId="0" fontId="0" fillId="0" borderId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0"/>
    <xf numFmtId="9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>
      <alignment vertical="center"/>
    </xf>
    <xf numFmtId="44" fontId="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41" fontId="2" fillId="0" borderId="1" xfId="0" applyNumberFormat="1" applyFont="1" applyBorder="1">
      <alignment vertical="center"/>
    </xf>
    <xf numFmtId="177" fontId="2" fillId="0" borderId="1" xfId="0" applyNumberFormat="1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0" fillId="3" borderId="1" xfId="0" applyFill="1" applyBorder="1">
      <alignment vertical="center"/>
    </xf>
    <xf numFmtId="0" fontId="4" fillId="0" borderId="1" xfId="0" applyFont="1" applyBorder="1">
      <alignment vertical="center"/>
    </xf>
    <xf numFmtId="43" fontId="2" fillId="0" borderId="5" xfId="0" applyNumberFormat="1" applyFont="1" applyBorder="1">
      <alignment vertical="center"/>
    </xf>
    <xf numFmtId="44" fontId="2" fillId="2" borderId="1" xfId="1" applyFont="1" applyFill="1" applyBorder="1">
      <alignment vertical="center"/>
    </xf>
    <xf numFmtId="44" fontId="2" fillId="3" borderId="1" xfId="1" applyFont="1" applyFill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10" fontId="11" fillId="4" borderId="7" xfId="0" applyNumberFormat="1" applyFont="1" applyFill="1" applyBorder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2" fillId="4" borderId="6" xfId="0" applyFont="1" applyFill="1" applyBorder="1" applyAlignment="1">
      <alignment horizontal="center" vertical="center"/>
    </xf>
    <xf numFmtId="44" fontId="12" fillId="0" borderId="13" xfId="0" applyNumberFormat="1" applyFont="1" applyBorder="1">
      <alignment vertical="center"/>
    </xf>
    <xf numFmtId="10" fontId="12" fillId="0" borderId="13" xfId="0" applyNumberFormat="1" applyFont="1" applyBorder="1">
      <alignment vertical="center"/>
    </xf>
    <xf numFmtId="10" fontId="0" fillId="0" borderId="1" xfId="0" applyNumberFormat="1" applyBorder="1" applyAlignment="1">
      <alignment horizontal="right" vertical="center"/>
    </xf>
    <xf numFmtId="43" fontId="15" fillId="0" borderId="1" xfId="1" applyNumberFormat="1" applyFont="1" applyBorder="1">
      <alignment vertical="center"/>
    </xf>
    <xf numFmtId="44" fontId="0" fillId="0" borderId="0" xfId="0" applyNumberFormat="1">
      <alignment vertical="center"/>
    </xf>
    <xf numFmtId="43" fontId="0" fillId="0" borderId="0" xfId="0" applyNumberFormat="1">
      <alignment vertical="center"/>
    </xf>
    <xf numFmtId="0" fontId="0" fillId="0" borderId="0" xfId="0" quotePrefix="1">
      <alignment vertical="center"/>
    </xf>
    <xf numFmtId="43" fontId="0" fillId="0" borderId="0" xfId="1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43" fontId="14" fillId="0" borderId="0" xfId="0" applyNumberFormat="1" applyFont="1">
      <alignment vertical="center"/>
    </xf>
    <xf numFmtId="0" fontId="13" fillId="0" borderId="0" xfId="0" applyFont="1">
      <alignment vertical="center"/>
    </xf>
    <xf numFmtId="177" fontId="2" fillId="0" borderId="1" xfId="0" quotePrefix="1" applyNumberFormat="1" applyFont="1" applyBorder="1">
      <alignment vertical="center"/>
    </xf>
    <xf numFmtId="0" fontId="17" fillId="0" borderId="0" xfId="3"/>
    <xf numFmtId="0" fontId="18" fillId="0" borderId="19" xfId="3" applyFont="1" applyBorder="1"/>
    <xf numFmtId="181" fontId="20" fillId="0" borderId="20" xfId="3" applyNumberFormat="1" applyFont="1" applyBorder="1"/>
    <xf numFmtId="179" fontId="21" fillId="0" borderId="21" xfId="4" applyNumberFormat="1" applyFont="1" applyBorder="1" applyAlignment="1" applyProtection="1">
      <alignment horizontal="center" vertical="center"/>
    </xf>
    <xf numFmtId="181" fontId="15" fillId="0" borderId="0" xfId="5" applyNumberFormat="1" applyFont="1" applyFill="1" applyBorder="1" applyAlignment="1" applyProtection="1">
      <alignment horizontal="right"/>
    </xf>
    <xf numFmtId="14" fontId="22" fillId="0" borderId="0" xfId="3" applyNumberFormat="1" applyFont="1"/>
    <xf numFmtId="181" fontId="0" fillId="0" borderId="0" xfId="5" applyNumberFormat="1" applyFont="1" applyBorder="1" applyAlignment="1" applyProtection="1"/>
    <xf numFmtId="43" fontId="0" fillId="0" borderId="2" xfId="5" applyFont="1" applyFill="1" applyBorder="1" applyAlignment="1" applyProtection="1"/>
    <xf numFmtId="43" fontId="0" fillId="0" borderId="2" xfId="5" applyFont="1" applyBorder="1" applyAlignment="1"/>
    <xf numFmtId="0" fontId="17" fillId="0" borderId="3" xfId="3" applyBorder="1"/>
    <xf numFmtId="181" fontId="0" fillId="0" borderId="23" xfId="5" applyNumberFormat="1" applyFont="1" applyFill="1" applyBorder="1" applyAlignment="1" applyProtection="1"/>
    <xf numFmtId="181" fontId="0" fillId="0" borderId="23" xfId="5" applyNumberFormat="1" applyFont="1" applyBorder="1" applyAlignment="1"/>
    <xf numFmtId="181" fontId="17" fillId="0" borderId="25" xfId="3" applyNumberFormat="1" applyBorder="1"/>
    <xf numFmtId="0" fontId="17" fillId="6" borderId="0" xfId="3" applyFill="1"/>
    <xf numFmtId="0" fontId="17" fillId="0" borderId="0" xfId="3" applyAlignment="1">
      <alignment horizontal="center"/>
    </xf>
    <xf numFmtId="14" fontId="17" fillId="7" borderId="0" xfId="3" applyNumberFormat="1" applyFill="1" applyAlignment="1">
      <alignment vertical="center"/>
    </xf>
    <xf numFmtId="38" fontId="17" fillId="7" borderId="0" xfId="3" applyNumberFormat="1" applyFill="1" applyAlignment="1">
      <alignment vertical="center"/>
    </xf>
    <xf numFmtId="38" fontId="23" fillId="7" borderId="0" xfId="3" applyNumberFormat="1" applyFont="1" applyFill="1" applyAlignment="1">
      <alignment vertical="center"/>
    </xf>
    <xf numFmtId="3" fontId="17" fillId="7" borderId="0" xfId="3" applyNumberFormat="1" applyFill="1"/>
    <xf numFmtId="2" fontId="15" fillId="7" borderId="0" xfId="6" applyNumberFormat="1" applyFill="1">
      <alignment vertical="center"/>
    </xf>
    <xf numFmtId="179" fontId="0" fillId="7" borderId="0" xfId="4" applyNumberFormat="1" applyFont="1" applyFill="1" applyAlignment="1"/>
    <xf numFmtId="9" fontId="17" fillId="7" borderId="0" xfId="3" applyNumberFormat="1" applyFill="1"/>
    <xf numFmtId="14" fontId="17" fillId="5" borderId="0" xfId="3" applyNumberFormat="1" applyFill="1" applyAlignment="1">
      <alignment vertical="center"/>
    </xf>
    <xf numFmtId="38" fontId="17" fillId="3" borderId="0" xfId="3" applyNumberFormat="1" applyFill="1" applyAlignment="1">
      <alignment vertical="center"/>
    </xf>
    <xf numFmtId="38" fontId="17" fillId="0" borderId="0" xfId="3" applyNumberFormat="1" applyAlignment="1">
      <alignment vertical="center"/>
    </xf>
    <xf numFmtId="38" fontId="23" fillId="0" borderId="0" xfId="3" applyNumberFormat="1" applyFont="1" applyAlignment="1">
      <alignment vertical="center"/>
    </xf>
    <xf numFmtId="181" fontId="0" fillId="0" borderId="0" xfId="5" applyNumberFormat="1" applyFont="1" applyAlignment="1"/>
    <xf numFmtId="2" fontId="15" fillId="3" borderId="0" xfId="6" applyNumberFormat="1" applyFill="1">
      <alignment vertical="center"/>
    </xf>
    <xf numFmtId="179" fontId="0" fillId="0" borderId="0" xfId="4" applyNumberFormat="1" applyFont="1" applyAlignment="1"/>
    <xf numFmtId="9" fontId="17" fillId="8" borderId="0" xfId="3" applyNumberFormat="1" applyFill="1"/>
    <xf numFmtId="181" fontId="0" fillId="0" borderId="0" xfId="5" applyNumberFormat="1" applyFont="1" applyBorder="1" applyAlignment="1"/>
    <xf numFmtId="179" fontId="0" fillId="0" borderId="0" xfId="4" applyNumberFormat="1" applyFont="1" applyBorder="1" applyAlignment="1"/>
    <xf numFmtId="0" fontId="24" fillId="0" borderId="0" xfId="3" applyFont="1"/>
    <xf numFmtId="43" fontId="0" fillId="0" borderId="22" xfId="5" applyFont="1" applyBorder="1" applyAlignment="1"/>
    <xf numFmtId="181" fontId="0" fillId="0" borderId="24" xfId="5" applyNumberFormat="1" applyFont="1" applyBorder="1" applyAlignment="1"/>
    <xf numFmtId="9" fontId="17" fillId="7" borderId="0" xfId="2" applyFont="1" applyFill="1" applyAlignment="1"/>
    <xf numFmtId="179" fontId="16" fillId="0" borderId="1" xfId="2" applyNumberFormat="1" applyFont="1" applyBorder="1">
      <alignment vertical="center"/>
    </xf>
    <xf numFmtId="10" fontId="12" fillId="0" borderId="1" xfId="0" applyNumberFormat="1" applyFont="1" applyBorder="1">
      <alignment vertical="center"/>
    </xf>
    <xf numFmtId="0" fontId="12" fillId="4" borderId="4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44" fontId="2" fillId="0" borderId="7" xfId="1" applyFont="1" applyBorder="1">
      <alignment vertical="center"/>
    </xf>
    <xf numFmtId="0" fontId="4" fillId="0" borderId="26" xfId="0" applyFont="1" applyBorder="1">
      <alignment vertical="center"/>
    </xf>
    <xf numFmtId="43" fontId="2" fillId="0" borderId="27" xfId="0" applyNumberFormat="1" applyFont="1" applyBorder="1">
      <alignment vertical="center"/>
    </xf>
    <xf numFmtId="0" fontId="17" fillId="0" borderId="17" xfId="3" applyBorder="1" applyAlignment="1">
      <alignment horizontal="center"/>
    </xf>
    <xf numFmtId="40" fontId="23" fillId="7" borderId="15" xfId="3" applyNumberFormat="1" applyFont="1" applyFill="1" applyBorder="1" applyAlignment="1">
      <alignment vertical="center"/>
    </xf>
    <xf numFmtId="40" fontId="23" fillId="0" borderId="15" xfId="3" applyNumberFormat="1" applyFont="1" applyBorder="1" applyAlignment="1">
      <alignment vertical="center"/>
    </xf>
    <xf numFmtId="4" fontId="17" fillId="7" borderId="15" xfId="3" applyNumberFormat="1" applyFill="1" applyBorder="1"/>
    <xf numFmtId="10" fontId="14" fillId="0" borderId="0" xfId="2" applyNumberFormat="1" applyFont="1">
      <alignment vertical="center"/>
    </xf>
    <xf numFmtId="182" fontId="0" fillId="0" borderId="0" xfId="4" applyNumberFormat="1" applyFont="1" applyAlignment="1"/>
    <xf numFmtId="179" fontId="0" fillId="9" borderId="0" xfId="4" applyNumberFormat="1" applyFont="1" applyFill="1" applyAlignment="1"/>
    <xf numFmtId="2" fontId="15" fillId="3" borderId="0" xfId="6" quotePrefix="1" applyNumberFormat="1" applyFill="1">
      <alignment vertical="center"/>
    </xf>
    <xf numFmtId="0" fontId="6" fillId="0" borderId="0" xfId="985">
      <alignment vertical="center"/>
    </xf>
    <xf numFmtId="10" fontId="12" fillId="0" borderId="13" xfId="0" applyNumberFormat="1" applyFont="1" applyBorder="1" applyAlignment="1">
      <alignment horizontal="right" vertical="center"/>
    </xf>
    <xf numFmtId="0" fontId="0" fillId="4" borderId="10" xfId="0" applyFill="1" applyBorder="1" applyAlignment="1">
      <alignment horizontal="center" vertical="center"/>
    </xf>
    <xf numFmtId="43" fontId="0" fillId="0" borderId="28" xfId="1" applyNumberFormat="1" applyFont="1" applyBorder="1">
      <alignment vertical="center"/>
    </xf>
    <xf numFmtId="10" fontId="0" fillId="0" borderId="28" xfId="0" applyNumberFormat="1" applyBorder="1" applyAlignment="1">
      <alignment horizontal="right" vertical="center"/>
    </xf>
    <xf numFmtId="180" fontId="12" fillId="0" borderId="13" xfId="0" applyNumberFormat="1" applyFont="1" applyBorder="1">
      <alignment vertical="center"/>
    </xf>
    <xf numFmtId="180" fontId="12" fillId="0" borderId="1" xfId="0" applyNumberFormat="1" applyFont="1" applyBorder="1">
      <alignment vertical="center"/>
    </xf>
    <xf numFmtId="181" fontId="0" fillId="0" borderId="1" xfId="1" applyNumberFormat="1" applyFont="1" applyBorder="1">
      <alignment vertical="center"/>
    </xf>
    <xf numFmtId="181" fontId="5" fillId="0" borderId="5" xfId="0" applyNumberFormat="1" applyFont="1" applyBorder="1">
      <alignment vertical="center"/>
    </xf>
    <xf numFmtId="181" fontId="15" fillId="0" borderId="1" xfId="1" applyNumberFormat="1" applyFont="1" applyBorder="1">
      <alignment vertical="center"/>
    </xf>
    <xf numFmtId="181" fontId="12" fillId="0" borderId="13" xfId="0" applyNumberFormat="1" applyFont="1" applyBorder="1">
      <alignment vertical="center"/>
    </xf>
    <xf numFmtId="181" fontId="15" fillId="0" borderId="28" xfId="1" applyNumberFormat="1" applyFont="1" applyBorder="1">
      <alignment vertical="center"/>
    </xf>
    <xf numFmtId="10" fontId="0" fillId="0" borderId="0" xfId="0" applyNumberFormat="1">
      <alignment vertical="center"/>
    </xf>
    <xf numFmtId="181" fontId="15" fillId="0" borderId="5" xfId="1" applyNumberFormat="1" applyFont="1" applyBorder="1">
      <alignment vertical="center"/>
    </xf>
    <xf numFmtId="181" fontId="12" fillId="0" borderId="7" xfId="0" applyNumberFormat="1" applyFont="1" applyBorder="1">
      <alignment vertical="center"/>
    </xf>
    <xf numFmtId="181" fontId="15" fillId="0" borderId="11" xfId="1" applyNumberFormat="1" applyFont="1" applyBorder="1">
      <alignment vertical="center"/>
    </xf>
    <xf numFmtId="0" fontId="17" fillId="0" borderId="22" xfId="3" applyBorder="1"/>
    <xf numFmtId="0" fontId="17" fillId="0" borderId="24" xfId="3" applyBorder="1"/>
    <xf numFmtId="38" fontId="17" fillId="0" borderId="0" xfId="3" applyNumberFormat="1"/>
    <xf numFmtId="181" fontId="0" fillId="0" borderId="14" xfId="1" applyNumberFormat="1" applyFont="1" applyBorder="1">
      <alignment vertical="center"/>
    </xf>
    <xf numFmtId="181" fontId="5" fillId="0" borderId="0" xfId="0" applyNumberFormat="1" applyFont="1">
      <alignment vertical="center"/>
    </xf>
    <xf numFmtId="179" fontId="16" fillId="0" borderId="28" xfId="2" applyNumberFormat="1" applyFont="1" applyBorder="1">
      <alignment vertical="center"/>
    </xf>
    <xf numFmtId="10" fontId="0" fillId="0" borderId="28" xfId="0" applyNumberForma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178" fontId="0" fillId="2" borderId="29" xfId="0" applyNumberFormat="1" applyFill="1" applyBorder="1">
      <alignment vertical="center"/>
    </xf>
    <xf numFmtId="0" fontId="0" fillId="2" borderId="29" xfId="0" applyFill="1" applyBorder="1">
      <alignment vertical="center"/>
    </xf>
    <xf numFmtId="181" fontId="0" fillId="2" borderId="29" xfId="0" applyNumberFormat="1" applyFill="1" applyBorder="1">
      <alignment vertical="center"/>
    </xf>
    <xf numFmtId="181" fontId="0" fillId="2" borderId="30" xfId="0" applyNumberFormat="1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178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181" fontId="0" fillId="2" borderId="13" xfId="0" applyNumberFormat="1" applyFill="1" applyBorder="1">
      <alignment vertical="center"/>
    </xf>
    <xf numFmtId="181" fontId="0" fillId="2" borderId="7" xfId="0" applyNumberFormat="1" applyFill="1" applyBorder="1">
      <alignment vertical="center"/>
    </xf>
    <xf numFmtId="179" fontId="16" fillId="0" borderId="13" xfId="2" applyNumberFormat="1" applyFont="1" applyBorder="1">
      <alignment vertical="center"/>
    </xf>
    <xf numFmtId="0" fontId="0" fillId="0" borderId="10" xfId="0" applyBorder="1">
      <alignment vertical="center"/>
    </xf>
    <xf numFmtId="180" fontId="12" fillId="0" borderId="11" xfId="0" applyNumberFormat="1" applyFont="1" applyBorder="1">
      <alignment vertical="center"/>
    </xf>
    <xf numFmtId="9" fontId="0" fillId="0" borderId="0" xfId="2" applyFont="1">
      <alignment vertical="center"/>
    </xf>
    <xf numFmtId="10" fontId="0" fillId="0" borderId="0" xfId="2" applyNumberFormat="1" applyFont="1">
      <alignment vertical="center"/>
    </xf>
    <xf numFmtId="181" fontId="0" fillId="0" borderId="0" xfId="0" applyNumberFormat="1">
      <alignment vertical="center"/>
    </xf>
    <xf numFmtId="0" fontId="0" fillId="4" borderId="31" xfId="0" applyFill="1" applyBorder="1" applyAlignment="1">
      <alignment horizontal="center" vertical="center"/>
    </xf>
    <xf numFmtId="181" fontId="0" fillId="0" borderId="32" xfId="1" applyNumberFormat="1" applyFont="1" applyBorder="1">
      <alignment vertical="center"/>
    </xf>
    <xf numFmtId="180" fontId="12" fillId="0" borderId="7" xfId="0" applyNumberFormat="1" applyFont="1" applyBorder="1">
      <alignment vertical="center"/>
    </xf>
    <xf numFmtId="0" fontId="0" fillId="0" borderId="1" xfId="0" applyBorder="1">
      <alignment vertical="center"/>
    </xf>
    <xf numFmtId="44" fontId="2" fillId="0" borderId="1" xfId="1" applyFont="1" applyBorder="1" applyAlignment="1">
      <alignment vertical="center"/>
    </xf>
    <xf numFmtId="176" fontId="0" fillId="0" borderId="0" xfId="0" applyNumberFormat="1">
      <alignment vertical="center"/>
    </xf>
    <xf numFmtId="181" fontId="15" fillId="0" borderId="32" xfId="1" applyNumberFormat="1" applyFont="1" applyBorder="1">
      <alignment vertical="center"/>
    </xf>
    <xf numFmtId="10" fontId="0" fillId="0" borderId="32" xfId="0" applyNumberFormat="1" applyBorder="1" applyAlignment="1">
      <alignment horizontal="center" vertical="center"/>
    </xf>
    <xf numFmtId="2" fontId="2" fillId="0" borderId="0" xfId="0" applyNumberFormat="1" applyFont="1">
      <alignment vertical="center"/>
    </xf>
    <xf numFmtId="0" fontId="0" fillId="2" borderId="17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731">
    <cellStyle name="一般" xfId="0" builtinId="0"/>
    <cellStyle name="一般 10" xfId="7" xr:uid="{00000000-0005-0000-0000-000001000000}"/>
    <cellStyle name="一般 10 2" xfId="8" xr:uid="{00000000-0005-0000-0000-000002000000}"/>
    <cellStyle name="一般 10 2 2" xfId="9" xr:uid="{00000000-0005-0000-0000-000003000000}"/>
    <cellStyle name="一般 10 2 2 2" xfId="10" xr:uid="{00000000-0005-0000-0000-000004000000}"/>
    <cellStyle name="一般 10 2 3" xfId="11" xr:uid="{00000000-0005-0000-0000-000005000000}"/>
    <cellStyle name="一般 10 3" xfId="12" xr:uid="{00000000-0005-0000-0000-000006000000}"/>
    <cellStyle name="一般 10 3 2" xfId="13" xr:uid="{00000000-0005-0000-0000-000007000000}"/>
    <cellStyle name="一般 10 4" xfId="14" xr:uid="{00000000-0005-0000-0000-000008000000}"/>
    <cellStyle name="一般 100" xfId="15" xr:uid="{00000000-0005-0000-0000-000009000000}"/>
    <cellStyle name="一般 100 2" xfId="16" xr:uid="{00000000-0005-0000-0000-00000A000000}"/>
    <cellStyle name="一般 100 2 2" xfId="17" xr:uid="{00000000-0005-0000-0000-00000B000000}"/>
    <cellStyle name="一般 100 2 2 2" xfId="18" xr:uid="{00000000-0005-0000-0000-00000C000000}"/>
    <cellStyle name="一般 100 2 3" xfId="19" xr:uid="{00000000-0005-0000-0000-00000D000000}"/>
    <cellStyle name="一般 100 3" xfId="20" xr:uid="{00000000-0005-0000-0000-00000E000000}"/>
    <cellStyle name="一般 100 3 2" xfId="21" xr:uid="{00000000-0005-0000-0000-00000F000000}"/>
    <cellStyle name="一般 100 4" xfId="22" xr:uid="{00000000-0005-0000-0000-000010000000}"/>
    <cellStyle name="一般 101" xfId="23" xr:uid="{00000000-0005-0000-0000-000011000000}"/>
    <cellStyle name="一般 101 2" xfId="24" xr:uid="{00000000-0005-0000-0000-000012000000}"/>
    <cellStyle name="一般 101 2 2" xfId="25" xr:uid="{00000000-0005-0000-0000-000013000000}"/>
    <cellStyle name="一般 101 2 2 2" xfId="26" xr:uid="{00000000-0005-0000-0000-000014000000}"/>
    <cellStyle name="一般 101 2 3" xfId="27" xr:uid="{00000000-0005-0000-0000-000015000000}"/>
    <cellStyle name="一般 101 3" xfId="28" xr:uid="{00000000-0005-0000-0000-000016000000}"/>
    <cellStyle name="一般 101 3 2" xfId="29" xr:uid="{00000000-0005-0000-0000-000017000000}"/>
    <cellStyle name="一般 101 4" xfId="30" xr:uid="{00000000-0005-0000-0000-000018000000}"/>
    <cellStyle name="一般 102" xfId="31" xr:uid="{00000000-0005-0000-0000-000019000000}"/>
    <cellStyle name="一般 102 2" xfId="32" xr:uid="{00000000-0005-0000-0000-00001A000000}"/>
    <cellStyle name="一般 102 2 2" xfId="33" xr:uid="{00000000-0005-0000-0000-00001B000000}"/>
    <cellStyle name="一般 102 2 2 2" xfId="34" xr:uid="{00000000-0005-0000-0000-00001C000000}"/>
    <cellStyle name="一般 102 2 3" xfId="35" xr:uid="{00000000-0005-0000-0000-00001D000000}"/>
    <cellStyle name="一般 102 3" xfId="36" xr:uid="{00000000-0005-0000-0000-00001E000000}"/>
    <cellStyle name="一般 102 3 2" xfId="37" xr:uid="{00000000-0005-0000-0000-00001F000000}"/>
    <cellStyle name="一般 102 4" xfId="38" xr:uid="{00000000-0005-0000-0000-000020000000}"/>
    <cellStyle name="一般 103" xfId="39" xr:uid="{00000000-0005-0000-0000-000021000000}"/>
    <cellStyle name="一般 103 2" xfId="40" xr:uid="{00000000-0005-0000-0000-000022000000}"/>
    <cellStyle name="一般 103 2 2" xfId="41" xr:uid="{00000000-0005-0000-0000-000023000000}"/>
    <cellStyle name="一般 103 2 2 2" xfId="42" xr:uid="{00000000-0005-0000-0000-000024000000}"/>
    <cellStyle name="一般 103 2 3" xfId="43" xr:uid="{00000000-0005-0000-0000-000025000000}"/>
    <cellStyle name="一般 103 3" xfId="44" xr:uid="{00000000-0005-0000-0000-000026000000}"/>
    <cellStyle name="一般 103 3 2" xfId="45" xr:uid="{00000000-0005-0000-0000-000027000000}"/>
    <cellStyle name="一般 103 4" xfId="46" xr:uid="{00000000-0005-0000-0000-000028000000}"/>
    <cellStyle name="一般 104" xfId="47" xr:uid="{00000000-0005-0000-0000-000029000000}"/>
    <cellStyle name="一般 104 2" xfId="48" xr:uid="{00000000-0005-0000-0000-00002A000000}"/>
    <cellStyle name="一般 104 2 2" xfId="49" xr:uid="{00000000-0005-0000-0000-00002B000000}"/>
    <cellStyle name="一般 104 2 2 2" xfId="50" xr:uid="{00000000-0005-0000-0000-00002C000000}"/>
    <cellStyle name="一般 104 2 3" xfId="51" xr:uid="{00000000-0005-0000-0000-00002D000000}"/>
    <cellStyle name="一般 104 3" xfId="52" xr:uid="{00000000-0005-0000-0000-00002E000000}"/>
    <cellStyle name="一般 104 3 2" xfId="53" xr:uid="{00000000-0005-0000-0000-00002F000000}"/>
    <cellStyle name="一般 104 4" xfId="54" xr:uid="{00000000-0005-0000-0000-000030000000}"/>
    <cellStyle name="一般 105" xfId="55" xr:uid="{00000000-0005-0000-0000-000031000000}"/>
    <cellStyle name="一般 105 2" xfId="56" xr:uid="{00000000-0005-0000-0000-000032000000}"/>
    <cellStyle name="一般 105 2 2" xfId="57" xr:uid="{00000000-0005-0000-0000-000033000000}"/>
    <cellStyle name="一般 105 2 2 2" xfId="58" xr:uid="{00000000-0005-0000-0000-000034000000}"/>
    <cellStyle name="一般 105 2 3" xfId="59" xr:uid="{00000000-0005-0000-0000-000035000000}"/>
    <cellStyle name="一般 105 3" xfId="60" xr:uid="{00000000-0005-0000-0000-000036000000}"/>
    <cellStyle name="一般 105 3 2" xfId="61" xr:uid="{00000000-0005-0000-0000-000037000000}"/>
    <cellStyle name="一般 105 4" xfId="62" xr:uid="{00000000-0005-0000-0000-000038000000}"/>
    <cellStyle name="一般 106" xfId="63" xr:uid="{00000000-0005-0000-0000-000039000000}"/>
    <cellStyle name="一般 106 2" xfId="64" xr:uid="{00000000-0005-0000-0000-00003A000000}"/>
    <cellStyle name="一般 106 2 2" xfId="65" xr:uid="{00000000-0005-0000-0000-00003B000000}"/>
    <cellStyle name="一般 106 2 2 2" xfId="66" xr:uid="{00000000-0005-0000-0000-00003C000000}"/>
    <cellStyle name="一般 106 2 3" xfId="67" xr:uid="{00000000-0005-0000-0000-00003D000000}"/>
    <cellStyle name="一般 106 3" xfId="68" xr:uid="{00000000-0005-0000-0000-00003E000000}"/>
    <cellStyle name="一般 106 3 2" xfId="69" xr:uid="{00000000-0005-0000-0000-00003F000000}"/>
    <cellStyle name="一般 106 4" xfId="70" xr:uid="{00000000-0005-0000-0000-000040000000}"/>
    <cellStyle name="一般 107" xfId="71" xr:uid="{00000000-0005-0000-0000-000041000000}"/>
    <cellStyle name="一般 107 2" xfId="72" xr:uid="{00000000-0005-0000-0000-000042000000}"/>
    <cellStyle name="一般 107 2 2" xfId="73" xr:uid="{00000000-0005-0000-0000-000043000000}"/>
    <cellStyle name="一般 107 2 2 2" xfId="74" xr:uid="{00000000-0005-0000-0000-000044000000}"/>
    <cellStyle name="一般 107 2 3" xfId="75" xr:uid="{00000000-0005-0000-0000-000045000000}"/>
    <cellStyle name="一般 107 3" xfId="76" xr:uid="{00000000-0005-0000-0000-000046000000}"/>
    <cellStyle name="一般 107 3 2" xfId="77" xr:uid="{00000000-0005-0000-0000-000047000000}"/>
    <cellStyle name="一般 107 4" xfId="78" xr:uid="{00000000-0005-0000-0000-000048000000}"/>
    <cellStyle name="一般 108" xfId="79" xr:uid="{00000000-0005-0000-0000-000049000000}"/>
    <cellStyle name="一般 108 2" xfId="80" xr:uid="{00000000-0005-0000-0000-00004A000000}"/>
    <cellStyle name="一般 108 2 2" xfId="81" xr:uid="{00000000-0005-0000-0000-00004B000000}"/>
    <cellStyle name="一般 108 2 2 2" xfId="82" xr:uid="{00000000-0005-0000-0000-00004C000000}"/>
    <cellStyle name="一般 108 2 3" xfId="83" xr:uid="{00000000-0005-0000-0000-00004D000000}"/>
    <cellStyle name="一般 108 3" xfId="84" xr:uid="{00000000-0005-0000-0000-00004E000000}"/>
    <cellStyle name="一般 108 3 2" xfId="85" xr:uid="{00000000-0005-0000-0000-00004F000000}"/>
    <cellStyle name="一般 108 4" xfId="86" xr:uid="{00000000-0005-0000-0000-000050000000}"/>
    <cellStyle name="一般 109" xfId="87" xr:uid="{00000000-0005-0000-0000-000051000000}"/>
    <cellStyle name="一般 109 2" xfId="88" xr:uid="{00000000-0005-0000-0000-000052000000}"/>
    <cellStyle name="一般 109 2 2" xfId="89" xr:uid="{00000000-0005-0000-0000-000053000000}"/>
    <cellStyle name="一般 109 2 2 2" xfId="90" xr:uid="{00000000-0005-0000-0000-000054000000}"/>
    <cellStyle name="一般 109 2 3" xfId="91" xr:uid="{00000000-0005-0000-0000-000055000000}"/>
    <cellStyle name="一般 109 3" xfId="92" xr:uid="{00000000-0005-0000-0000-000056000000}"/>
    <cellStyle name="一般 109 3 2" xfId="93" xr:uid="{00000000-0005-0000-0000-000057000000}"/>
    <cellStyle name="一般 109 4" xfId="94" xr:uid="{00000000-0005-0000-0000-000058000000}"/>
    <cellStyle name="一般 11" xfId="95" xr:uid="{00000000-0005-0000-0000-000059000000}"/>
    <cellStyle name="一般 11 2" xfId="96" xr:uid="{00000000-0005-0000-0000-00005A000000}"/>
    <cellStyle name="一般 11 2 2" xfId="97" xr:uid="{00000000-0005-0000-0000-00005B000000}"/>
    <cellStyle name="一般 11 2 2 2" xfId="98" xr:uid="{00000000-0005-0000-0000-00005C000000}"/>
    <cellStyle name="一般 11 2 3" xfId="99" xr:uid="{00000000-0005-0000-0000-00005D000000}"/>
    <cellStyle name="一般 11 3" xfId="100" xr:uid="{00000000-0005-0000-0000-00005E000000}"/>
    <cellStyle name="一般 11 3 2" xfId="101" xr:uid="{00000000-0005-0000-0000-00005F000000}"/>
    <cellStyle name="一般 11 4" xfId="102" xr:uid="{00000000-0005-0000-0000-000060000000}"/>
    <cellStyle name="一般 110" xfId="103" xr:uid="{00000000-0005-0000-0000-000061000000}"/>
    <cellStyle name="一般 110 2" xfId="104" xr:uid="{00000000-0005-0000-0000-000062000000}"/>
    <cellStyle name="一般 110 2 2" xfId="105" xr:uid="{00000000-0005-0000-0000-000063000000}"/>
    <cellStyle name="一般 110 2 2 2" xfId="106" xr:uid="{00000000-0005-0000-0000-000064000000}"/>
    <cellStyle name="一般 110 2 3" xfId="107" xr:uid="{00000000-0005-0000-0000-000065000000}"/>
    <cellStyle name="一般 110 3" xfId="108" xr:uid="{00000000-0005-0000-0000-000066000000}"/>
    <cellStyle name="一般 110 3 2" xfId="109" xr:uid="{00000000-0005-0000-0000-000067000000}"/>
    <cellStyle name="一般 110 4" xfId="110" xr:uid="{00000000-0005-0000-0000-000068000000}"/>
    <cellStyle name="一般 111" xfId="111" xr:uid="{00000000-0005-0000-0000-000069000000}"/>
    <cellStyle name="一般 111 2" xfId="112" xr:uid="{00000000-0005-0000-0000-00006A000000}"/>
    <cellStyle name="一般 111 2 2" xfId="113" xr:uid="{00000000-0005-0000-0000-00006B000000}"/>
    <cellStyle name="一般 111 2 2 2" xfId="114" xr:uid="{00000000-0005-0000-0000-00006C000000}"/>
    <cellStyle name="一般 111 2 3" xfId="115" xr:uid="{00000000-0005-0000-0000-00006D000000}"/>
    <cellStyle name="一般 111 3" xfId="116" xr:uid="{00000000-0005-0000-0000-00006E000000}"/>
    <cellStyle name="一般 111 3 2" xfId="117" xr:uid="{00000000-0005-0000-0000-00006F000000}"/>
    <cellStyle name="一般 111 4" xfId="118" xr:uid="{00000000-0005-0000-0000-000070000000}"/>
    <cellStyle name="一般 112" xfId="119" xr:uid="{00000000-0005-0000-0000-000071000000}"/>
    <cellStyle name="一般 112 2" xfId="120" xr:uid="{00000000-0005-0000-0000-000072000000}"/>
    <cellStyle name="一般 112 2 2" xfId="121" xr:uid="{00000000-0005-0000-0000-000073000000}"/>
    <cellStyle name="一般 112 2 2 2" xfId="122" xr:uid="{00000000-0005-0000-0000-000074000000}"/>
    <cellStyle name="一般 112 2 3" xfId="123" xr:uid="{00000000-0005-0000-0000-000075000000}"/>
    <cellStyle name="一般 112 3" xfId="124" xr:uid="{00000000-0005-0000-0000-000076000000}"/>
    <cellStyle name="一般 112 3 2" xfId="125" xr:uid="{00000000-0005-0000-0000-000077000000}"/>
    <cellStyle name="一般 112 4" xfId="126" xr:uid="{00000000-0005-0000-0000-000078000000}"/>
    <cellStyle name="一般 113" xfId="127" xr:uid="{00000000-0005-0000-0000-000079000000}"/>
    <cellStyle name="一般 113 2" xfId="128" xr:uid="{00000000-0005-0000-0000-00007A000000}"/>
    <cellStyle name="一般 113 2 2" xfId="129" xr:uid="{00000000-0005-0000-0000-00007B000000}"/>
    <cellStyle name="一般 113 2 2 2" xfId="130" xr:uid="{00000000-0005-0000-0000-00007C000000}"/>
    <cellStyle name="一般 113 2 3" xfId="131" xr:uid="{00000000-0005-0000-0000-00007D000000}"/>
    <cellStyle name="一般 113 3" xfId="132" xr:uid="{00000000-0005-0000-0000-00007E000000}"/>
    <cellStyle name="一般 113 3 2" xfId="133" xr:uid="{00000000-0005-0000-0000-00007F000000}"/>
    <cellStyle name="一般 113 4" xfId="134" xr:uid="{00000000-0005-0000-0000-000080000000}"/>
    <cellStyle name="一般 114" xfId="135" xr:uid="{00000000-0005-0000-0000-000081000000}"/>
    <cellStyle name="一般 114 2" xfId="136" xr:uid="{00000000-0005-0000-0000-000082000000}"/>
    <cellStyle name="一般 114 2 2" xfId="137" xr:uid="{00000000-0005-0000-0000-000083000000}"/>
    <cellStyle name="一般 114 2 2 2" xfId="138" xr:uid="{00000000-0005-0000-0000-000084000000}"/>
    <cellStyle name="一般 114 2 3" xfId="139" xr:uid="{00000000-0005-0000-0000-000085000000}"/>
    <cellStyle name="一般 114 3" xfId="140" xr:uid="{00000000-0005-0000-0000-000086000000}"/>
    <cellStyle name="一般 114 3 2" xfId="141" xr:uid="{00000000-0005-0000-0000-000087000000}"/>
    <cellStyle name="一般 114 4" xfId="142" xr:uid="{00000000-0005-0000-0000-000088000000}"/>
    <cellStyle name="一般 115" xfId="143" xr:uid="{00000000-0005-0000-0000-000089000000}"/>
    <cellStyle name="一般 115 2" xfId="144" xr:uid="{00000000-0005-0000-0000-00008A000000}"/>
    <cellStyle name="一般 115 2 2" xfId="145" xr:uid="{00000000-0005-0000-0000-00008B000000}"/>
    <cellStyle name="一般 115 2 2 2" xfId="146" xr:uid="{00000000-0005-0000-0000-00008C000000}"/>
    <cellStyle name="一般 115 2 3" xfId="147" xr:uid="{00000000-0005-0000-0000-00008D000000}"/>
    <cellStyle name="一般 115 3" xfId="148" xr:uid="{00000000-0005-0000-0000-00008E000000}"/>
    <cellStyle name="一般 115 3 2" xfId="149" xr:uid="{00000000-0005-0000-0000-00008F000000}"/>
    <cellStyle name="一般 115 4" xfId="150" xr:uid="{00000000-0005-0000-0000-000090000000}"/>
    <cellStyle name="一般 116" xfId="151" xr:uid="{00000000-0005-0000-0000-000091000000}"/>
    <cellStyle name="一般 116 2" xfId="152" xr:uid="{00000000-0005-0000-0000-000092000000}"/>
    <cellStyle name="一般 116 2 2" xfId="153" xr:uid="{00000000-0005-0000-0000-000093000000}"/>
    <cellStyle name="一般 116 2 2 2" xfId="154" xr:uid="{00000000-0005-0000-0000-000094000000}"/>
    <cellStyle name="一般 116 2 3" xfId="155" xr:uid="{00000000-0005-0000-0000-000095000000}"/>
    <cellStyle name="一般 116 3" xfId="156" xr:uid="{00000000-0005-0000-0000-000096000000}"/>
    <cellStyle name="一般 116 3 2" xfId="157" xr:uid="{00000000-0005-0000-0000-000097000000}"/>
    <cellStyle name="一般 116 4" xfId="158" xr:uid="{00000000-0005-0000-0000-000098000000}"/>
    <cellStyle name="一般 117" xfId="159" xr:uid="{00000000-0005-0000-0000-000099000000}"/>
    <cellStyle name="一般 117 2" xfId="160" xr:uid="{00000000-0005-0000-0000-00009A000000}"/>
    <cellStyle name="一般 117 2 2" xfId="161" xr:uid="{00000000-0005-0000-0000-00009B000000}"/>
    <cellStyle name="一般 117 2 2 2" xfId="162" xr:uid="{00000000-0005-0000-0000-00009C000000}"/>
    <cellStyle name="一般 117 2 3" xfId="163" xr:uid="{00000000-0005-0000-0000-00009D000000}"/>
    <cellStyle name="一般 117 3" xfId="164" xr:uid="{00000000-0005-0000-0000-00009E000000}"/>
    <cellStyle name="一般 117 3 2" xfId="165" xr:uid="{00000000-0005-0000-0000-00009F000000}"/>
    <cellStyle name="一般 117 4" xfId="166" xr:uid="{00000000-0005-0000-0000-0000A0000000}"/>
    <cellStyle name="一般 118" xfId="167" xr:uid="{00000000-0005-0000-0000-0000A1000000}"/>
    <cellStyle name="一般 118 2" xfId="168" xr:uid="{00000000-0005-0000-0000-0000A2000000}"/>
    <cellStyle name="一般 118 2 2" xfId="169" xr:uid="{00000000-0005-0000-0000-0000A3000000}"/>
    <cellStyle name="一般 118 2 2 2" xfId="170" xr:uid="{00000000-0005-0000-0000-0000A4000000}"/>
    <cellStyle name="一般 118 2 3" xfId="171" xr:uid="{00000000-0005-0000-0000-0000A5000000}"/>
    <cellStyle name="一般 118 3" xfId="172" xr:uid="{00000000-0005-0000-0000-0000A6000000}"/>
    <cellStyle name="一般 118 3 2" xfId="173" xr:uid="{00000000-0005-0000-0000-0000A7000000}"/>
    <cellStyle name="一般 118 4" xfId="174" xr:uid="{00000000-0005-0000-0000-0000A8000000}"/>
    <cellStyle name="一般 119" xfId="175" xr:uid="{00000000-0005-0000-0000-0000A9000000}"/>
    <cellStyle name="一般 119 2" xfId="176" xr:uid="{00000000-0005-0000-0000-0000AA000000}"/>
    <cellStyle name="一般 119 2 2" xfId="177" xr:uid="{00000000-0005-0000-0000-0000AB000000}"/>
    <cellStyle name="一般 119 2 2 2" xfId="178" xr:uid="{00000000-0005-0000-0000-0000AC000000}"/>
    <cellStyle name="一般 119 2 3" xfId="179" xr:uid="{00000000-0005-0000-0000-0000AD000000}"/>
    <cellStyle name="一般 119 3" xfId="180" xr:uid="{00000000-0005-0000-0000-0000AE000000}"/>
    <cellStyle name="一般 119 3 2" xfId="181" xr:uid="{00000000-0005-0000-0000-0000AF000000}"/>
    <cellStyle name="一般 119 4" xfId="182" xr:uid="{00000000-0005-0000-0000-0000B0000000}"/>
    <cellStyle name="一般 12" xfId="183" xr:uid="{00000000-0005-0000-0000-0000B1000000}"/>
    <cellStyle name="一般 12 2" xfId="184" xr:uid="{00000000-0005-0000-0000-0000B2000000}"/>
    <cellStyle name="一般 12 2 2" xfId="185" xr:uid="{00000000-0005-0000-0000-0000B3000000}"/>
    <cellStyle name="一般 12 2 2 2" xfId="186" xr:uid="{00000000-0005-0000-0000-0000B4000000}"/>
    <cellStyle name="一般 12 2 3" xfId="187" xr:uid="{00000000-0005-0000-0000-0000B5000000}"/>
    <cellStyle name="一般 12 3" xfId="188" xr:uid="{00000000-0005-0000-0000-0000B6000000}"/>
    <cellStyle name="一般 12 3 2" xfId="189" xr:uid="{00000000-0005-0000-0000-0000B7000000}"/>
    <cellStyle name="一般 12 4" xfId="190" xr:uid="{00000000-0005-0000-0000-0000B8000000}"/>
    <cellStyle name="一般 120" xfId="191" xr:uid="{00000000-0005-0000-0000-0000B9000000}"/>
    <cellStyle name="一般 120 2" xfId="192" xr:uid="{00000000-0005-0000-0000-0000BA000000}"/>
    <cellStyle name="一般 120 2 2" xfId="193" xr:uid="{00000000-0005-0000-0000-0000BB000000}"/>
    <cellStyle name="一般 120 2 2 2" xfId="194" xr:uid="{00000000-0005-0000-0000-0000BC000000}"/>
    <cellStyle name="一般 120 2 3" xfId="195" xr:uid="{00000000-0005-0000-0000-0000BD000000}"/>
    <cellStyle name="一般 120 3" xfId="196" xr:uid="{00000000-0005-0000-0000-0000BE000000}"/>
    <cellStyle name="一般 120 3 2" xfId="197" xr:uid="{00000000-0005-0000-0000-0000BF000000}"/>
    <cellStyle name="一般 120 4" xfId="198" xr:uid="{00000000-0005-0000-0000-0000C0000000}"/>
    <cellStyle name="一般 121" xfId="199" xr:uid="{00000000-0005-0000-0000-0000C1000000}"/>
    <cellStyle name="一般 121 2" xfId="200" xr:uid="{00000000-0005-0000-0000-0000C2000000}"/>
    <cellStyle name="一般 121 2 2" xfId="201" xr:uid="{00000000-0005-0000-0000-0000C3000000}"/>
    <cellStyle name="一般 121 2 2 2" xfId="202" xr:uid="{00000000-0005-0000-0000-0000C4000000}"/>
    <cellStyle name="一般 121 2 3" xfId="203" xr:uid="{00000000-0005-0000-0000-0000C5000000}"/>
    <cellStyle name="一般 121 3" xfId="204" xr:uid="{00000000-0005-0000-0000-0000C6000000}"/>
    <cellStyle name="一般 121 3 2" xfId="205" xr:uid="{00000000-0005-0000-0000-0000C7000000}"/>
    <cellStyle name="一般 121 4" xfId="206" xr:uid="{00000000-0005-0000-0000-0000C8000000}"/>
    <cellStyle name="一般 122" xfId="207" xr:uid="{00000000-0005-0000-0000-0000C9000000}"/>
    <cellStyle name="一般 122 2" xfId="208" xr:uid="{00000000-0005-0000-0000-0000CA000000}"/>
    <cellStyle name="一般 122 2 2" xfId="209" xr:uid="{00000000-0005-0000-0000-0000CB000000}"/>
    <cellStyle name="一般 122 2 2 2" xfId="210" xr:uid="{00000000-0005-0000-0000-0000CC000000}"/>
    <cellStyle name="一般 122 2 3" xfId="211" xr:uid="{00000000-0005-0000-0000-0000CD000000}"/>
    <cellStyle name="一般 122 3" xfId="212" xr:uid="{00000000-0005-0000-0000-0000CE000000}"/>
    <cellStyle name="一般 122 3 2" xfId="213" xr:uid="{00000000-0005-0000-0000-0000CF000000}"/>
    <cellStyle name="一般 122 4" xfId="214" xr:uid="{00000000-0005-0000-0000-0000D0000000}"/>
    <cellStyle name="一般 123" xfId="215" xr:uid="{00000000-0005-0000-0000-0000D1000000}"/>
    <cellStyle name="一般 123 2" xfId="216" xr:uid="{00000000-0005-0000-0000-0000D2000000}"/>
    <cellStyle name="一般 123 2 2" xfId="217" xr:uid="{00000000-0005-0000-0000-0000D3000000}"/>
    <cellStyle name="一般 123 2 2 2" xfId="218" xr:uid="{00000000-0005-0000-0000-0000D4000000}"/>
    <cellStyle name="一般 123 2 3" xfId="219" xr:uid="{00000000-0005-0000-0000-0000D5000000}"/>
    <cellStyle name="一般 123 3" xfId="220" xr:uid="{00000000-0005-0000-0000-0000D6000000}"/>
    <cellStyle name="一般 123 3 2" xfId="221" xr:uid="{00000000-0005-0000-0000-0000D7000000}"/>
    <cellStyle name="一般 123 4" xfId="222" xr:uid="{00000000-0005-0000-0000-0000D8000000}"/>
    <cellStyle name="一般 124" xfId="223" xr:uid="{00000000-0005-0000-0000-0000D9000000}"/>
    <cellStyle name="一般 124 2" xfId="224" xr:uid="{00000000-0005-0000-0000-0000DA000000}"/>
    <cellStyle name="一般 124 2 2" xfId="225" xr:uid="{00000000-0005-0000-0000-0000DB000000}"/>
    <cellStyle name="一般 124 2 2 2" xfId="226" xr:uid="{00000000-0005-0000-0000-0000DC000000}"/>
    <cellStyle name="一般 124 2 3" xfId="227" xr:uid="{00000000-0005-0000-0000-0000DD000000}"/>
    <cellStyle name="一般 124 3" xfId="228" xr:uid="{00000000-0005-0000-0000-0000DE000000}"/>
    <cellStyle name="一般 124 3 2" xfId="229" xr:uid="{00000000-0005-0000-0000-0000DF000000}"/>
    <cellStyle name="一般 124 4" xfId="230" xr:uid="{00000000-0005-0000-0000-0000E0000000}"/>
    <cellStyle name="一般 125" xfId="231" xr:uid="{00000000-0005-0000-0000-0000E1000000}"/>
    <cellStyle name="一般 125 2" xfId="232" xr:uid="{00000000-0005-0000-0000-0000E2000000}"/>
    <cellStyle name="一般 125 2 2" xfId="233" xr:uid="{00000000-0005-0000-0000-0000E3000000}"/>
    <cellStyle name="一般 125 2 2 2" xfId="234" xr:uid="{00000000-0005-0000-0000-0000E4000000}"/>
    <cellStyle name="一般 125 2 3" xfId="235" xr:uid="{00000000-0005-0000-0000-0000E5000000}"/>
    <cellStyle name="一般 125 3" xfId="236" xr:uid="{00000000-0005-0000-0000-0000E6000000}"/>
    <cellStyle name="一般 125 3 2" xfId="237" xr:uid="{00000000-0005-0000-0000-0000E7000000}"/>
    <cellStyle name="一般 125 4" xfId="238" xr:uid="{00000000-0005-0000-0000-0000E8000000}"/>
    <cellStyle name="一般 126" xfId="239" xr:uid="{00000000-0005-0000-0000-0000E9000000}"/>
    <cellStyle name="一般 126 2" xfId="240" xr:uid="{00000000-0005-0000-0000-0000EA000000}"/>
    <cellStyle name="一般 126 2 2" xfId="241" xr:uid="{00000000-0005-0000-0000-0000EB000000}"/>
    <cellStyle name="一般 126 2 2 2" xfId="242" xr:uid="{00000000-0005-0000-0000-0000EC000000}"/>
    <cellStyle name="一般 126 2 3" xfId="243" xr:uid="{00000000-0005-0000-0000-0000ED000000}"/>
    <cellStyle name="一般 126 3" xfId="244" xr:uid="{00000000-0005-0000-0000-0000EE000000}"/>
    <cellStyle name="一般 126 3 2" xfId="245" xr:uid="{00000000-0005-0000-0000-0000EF000000}"/>
    <cellStyle name="一般 126 4" xfId="246" xr:uid="{00000000-0005-0000-0000-0000F0000000}"/>
    <cellStyle name="一般 127" xfId="247" xr:uid="{00000000-0005-0000-0000-0000F1000000}"/>
    <cellStyle name="一般 127 2" xfId="248" xr:uid="{00000000-0005-0000-0000-0000F2000000}"/>
    <cellStyle name="一般 127 2 2" xfId="249" xr:uid="{00000000-0005-0000-0000-0000F3000000}"/>
    <cellStyle name="一般 127 2 2 2" xfId="250" xr:uid="{00000000-0005-0000-0000-0000F4000000}"/>
    <cellStyle name="一般 127 2 3" xfId="251" xr:uid="{00000000-0005-0000-0000-0000F5000000}"/>
    <cellStyle name="一般 127 3" xfId="252" xr:uid="{00000000-0005-0000-0000-0000F6000000}"/>
    <cellStyle name="一般 127 3 2" xfId="253" xr:uid="{00000000-0005-0000-0000-0000F7000000}"/>
    <cellStyle name="一般 127 4" xfId="254" xr:uid="{00000000-0005-0000-0000-0000F8000000}"/>
    <cellStyle name="一般 128" xfId="255" xr:uid="{00000000-0005-0000-0000-0000F9000000}"/>
    <cellStyle name="一般 128 2" xfId="256" xr:uid="{00000000-0005-0000-0000-0000FA000000}"/>
    <cellStyle name="一般 128 2 2" xfId="257" xr:uid="{00000000-0005-0000-0000-0000FB000000}"/>
    <cellStyle name="一般 128 2 2 2" xfId="258" xr:uid="{00000000-0005-0000-0000-0000FC000000}"/>
    <cellStyle name="一般 128 2 3" xfId="259" xr:uid="{00000000-0005-0000-0000-0000FD000000}"/>
    <cellStyle name="一般 128 3" xfId="260" xr:uid="{00000000-0005-0000-0000-0000FE000000}"/>
    <cellStyle name="一般 128 3 2" xfId="261" xr:uid="{00000000-0005-0000-0000-0000FF000000}"/>
    <cellStyle name="一般 128 4" xfId="262" xr:uid="{00000000-0005-0000-0000-000000010000}"/>
    <cellStyle name="一般 129" xfId="263" xr:uid="{00000000-0005-0000-0000-000001010000}"/>
    <cellStyle name="一般 129 2" xfId="264" xr:uid="{00000000-0005-0000-0000-000002010000}"/>
    <cellStyle name="一般 129 2 2" xfId="265" xr:uid="{00000000-0005-0000-0000-000003010000}"/>
    <cellStyle name="一般 129 2 2 2" xfId="266" xr:uid="{00000000-0005-0000-0000-000004010000}"/>
    <cellStyle name="一般 129 2 3" xfId="267" xr:uid="{00000000-0005-0000-0000-000005010000}"/>
    <cellStyle name="一般 129 3" xfId="268" xr:uid="{00000000-0005-0000-0000-000006010000}"/>
    <cellStyle name="一般 129 3 2" xfId="269" xr:uid="{00000000-0005-0000-0000-000007010000}"/>
    <cellStyle name="一般 129 4" xfId="270" xr:uid="{00000000-0005-0000-0000-000008010000}"/>
    <cellStyle name="一般 13" xfId="271" xr:uid="{00000000-0005-0000-0000-000009010000}"/>
    <cellStyle name="一般 13 2" xfId="272" xr:uid="{00000000-0005-0000-0000-00000A010000}"/>
    <cellStyle name="一般 13 2 2" xfId="273" xr:uid="{00000000-0005-0000-0000-00000B010000}"/>
    <cellStyle name="一般 13 2 2 2" xfId="274" xr:uid="{00000000-0005-0000-0000-00000C010000}"/>
    <cellStyle name="一般 13 2 3" xfId="275" xr:uid="{00000000-0005-0000-0000-00000D010000}"/>
    <cellStyle name="一般 13 3" xfId="276" xr:uid="{00000000-0005-0000-0000-00000E010000}"/>
    <cellStyle name="一般 13 3 2" xfId="277" xr:uid="{00000000-0005-0000-0000-00000F010000}"/>
    <cellStyle name="一般 13 4" xfId="278" xr:uid="{00000000-0005-0000-0000-000010010000}"/>
    <cellStyle name="一般 130" xfId="279" xr:uid="{00000000-0005-0000-0000-000011010000}"/>
    <cellStyle name="一般 130 2" xfId="280" xr:uid="{00000000-0005-0000-0000-000012010000}"/>
    <cellStyle name="一般 130 2 2" xfId="281" xr:uid="{00000000-0005-0000-0000-000013010000}"/>
    <cellStyle name="一般 130 2 2 2" xfId="282" xr:uid="{00000000-0005-0000-0000-000014010000}"/>
    <cellStyle name="一般 130 2 3" xfId="283" xr:uid="{00000000-0005-0000-0000-000015010000}"/>
    <cellStyle name="一般 130 3" xfId="284" xr:uid="{00000000-0005-0000-0000-000016010000}"/>
    <cellStyle name="一般 130 3 2" xfId="285" xr:uid="{00000000-0005-0000-0000-000017010000}"/>
    <cellStyle name="一般 130 4" xfId="286" xr:uid="{00000000-0005-0000-0000-000018010000}"/>
    <cellStyle name="一般 131" xfId="287" xr:uid="{00000000-0005-0000-0000-000019010000}"/>
    <cellStyle name="一般 131 2" xfId="288" xr:uid="{00000000-0005-0000-0000-00001A010000}"/>
    <cellStyle name="一般 131 2 2" xfId="289" xr:uid="{00000000-0005-0000-0000-00001B010000}"/>
    <cellStyle name="一般 131 2 2 2" xfId="290" xr:uid="{00000000-0005-0000-0000-00001C010000}"/>
    <cellStyle name="一般 131 2 3" xfId="291" xr:uid="{00000000-0005-0000-0000-00001D010000}"/>
    <cellStyle name="一般 131 3" xfId="292" xr:uid="{00000000-0005-0000-0000-00001E010000}"/>
    <cellStyle name="一般 131 3 2" xfId="293" xr:uid="{00000000-0005-0000-0000-00001F010000}"/>
    <cellStyle name="一般 131 4" xfId="294" xr:uid="{00000000-0005-0000-0000-000020010000}"/>
    <cellStyle name="一般 132" xfId="295" xr:uid="{00000000-0005-0000-0000-000021010000}"/>
    <cellStyle name="一般 132 2" xfId="296" xr:uid="{00000000-0005-0000-0000-000022010000}"/>
    <cellStyle name="一般 132 2 2" xfId="297" xr:uid="{00000000-0005-0000-0000-000023010000}"/>
    <cellStyle name="一般 132 2 2 2" xfId="298" xr:uid="{00000000-0005-0000-0000-000024010000}"/>
    <cellStyle name="一般 132 2 3" xfId="299" xr:uid="{00000000-0005-0000-0000-000025010000}"/>
    <cellStyle name="一般 132 3" xfId="300" xr:uid="{00000000-0005-0000-0000-000026010000}"/>
    <cellStyle name="一般 132 3 2" xfId="301" xr:uid="{00000000-0005-0000-0000-000027010000}"/>
    <cellStyle name="一般 132 4" xfId="302" xr:uid="{00000000-0005-0000-0000-000028010000}"/>
    <cellStyle name="一般 133" xfId="303" xr:uid="{00000000-0005-0000-0000-000029010000}"/>
    <cellStyle name="一般 133 2" xfId="304" xr:uid="{00000000-0005-0000-0000-00002A010000}"/>
    <cellStyle name="一般 133 2 2" xfId="305" xr:uid="{00000000-0005-0000-0000-00002B010000}"/>
    <cellStyle name="一般 133 2 2 2" xfId="306" xr:uid="{00000000-0005-0000-0000-00002C010000}"/>
    <cellStyle name="一般 133 2 3" xfId="307" xr:uid="{00000000-0005-0000-0000-00002D010000}"/>
    <cellStyle name="一般 133 3" xfId="308" xr:uid="{00000000-0005-0000-0000-00002E010000}"/>
    <cellStyle name="一般 133 3 2" xfId="309" xr:uid="{00000000-0005-0000-0000-00002F010000}"/>
    <cellStyle name="一般 133 4" xfId="310" xr:uid="{00000000-0005-0000-0000-000030010000}"/>
    <cellStyle name="一般 134" xfId="311" xr:uid="{00000000-0005-0000-0000-000031010000}"/>
    <cellStyle name="一般 134 2" xfId="312" xr:uid="{00000000-0005-0000-0000-000032010000}"/>
    <cellStyle name="一般 134 2 2" xfId="313" xr:uid="{00000000-0005-0000-0000-000033010000}"/>
    <cellStyle name="一般 134 2 2 2" xfId="314" xr:uid="{00000000-0005-0000-0000-000034010000}"/>
    <cellStyle name="一般 134 2 3" xfId="315" xr:uid="{00000000-0005-0000-0000-000035010000}"/>
    <cellStyle name="一般 134 3" xfId="316" xr:uid="{00000000-0005-0000-0000-000036010000}"/>
    <cellStyle name="一般 134 3 2" xfId="317" xr:uid="{00000000-0005-0000-0000-000037010000}"/>
    <cellStyle name="一般 134 4" xfId="318" xr:uid="{00000000-0005-0000-0000-000038010000}"/>
    <cellStyle name="一般 135" xfId="319" xr:uid="{00000000-0005-0000-0000-000039010000}"/>
    <cellStyle name="一般 135 2" xfId="320" xr:uid="{00000000-0005-0000-0000-00003A010000}"/>
    <cellStyle name="一般 135 2 2" xfId="321" xr:uid="{00000000-0005-0000-0000-00003B010000}"/>
    <cellStyle name="一般 135 2 2 2" xfId="322" xr:uid="{00000000-0005-0000-0000-00003C010000}"/>
    <cellStyle name="一般 135 2 3" xfId="323" xr:uid="{00000000-0005-0000-0000-00003D010000}"/>
    <cellStyle name="一般 135 3" xfId="324" xr:uid="{00000000-0005-0000-0000-00003E010000}"/>
    <cellStyle name="一般 135 3 2" xfId="325" xr:uid="{00000000-0005-0000-0000-00003F010000}"/>
    <cellStyle name="一般 135 4" xfId="326" xr:uid="{00000000-0005-0000-0000-000040010000}"/>
    <cellStyle name="一般 136" xfId="327" xr:uid="{00000000-0005-0000-0000-000041010000}"/>
    <cellStyle name="一般 136 2" xfId="328" xr:uid="{00000000-0005-0000-0000-000042010000}"/>
    <cellStyle name="一般 136 2 2" xfId="329" xr:uid="{00000000-0005-0000-0000-000043010000}"/>
    <cellStyle name="一般 136 2 2 2" xfId="330" xr:uid="{00000000-0005-0000-0000-000044010000}"/>
    <cellStyle name="一般 136 2 3" xfId="331" xr:uid="{00000000-0005-0000-0000-000045010000}"/>
    <cellStyle name="一般 136 3" xfId="332" xr:uid="{00000000-0005-0000-0000-000046010000}"/>
    <cellStyle name="一般 136 3 2" xfId="333" xr:uid="{00000000-0005-0000-0000-000047010000}"/>
    <cellStyle name="一般 136 4" xfId="334" xr:uid="{00000000-0005-0000-0000-000048010000}"/>
    <cellStyle name="一般 137" xfId="335" xr:uid="{00000000-0005-0000-0000-000049010000}"/>
    <cellStyle name="一般 137 2" xfId="336" xr:uid="{00000000-0005-0000-0000-00004A010000}"/>
    <cellStyle name="一般 137 2 2" xfId="337" xr:uid="{00000000-0005-0000-0000-00004B010000}"/>
    <cellStyle name="一般 137 2 2 2" xfId="338" xr:uid="{00000000-0005-0000-0000-00004C010000}"/>
    <cellStyle name="一般 137 2 3" xfId="339" xr:uid="{00000000-0005-0000-0000-00004D010000}"/>
    <cellStyle name="一般 137 3" xfId="340" xr:uid="{00000000-0005-0000-0000-00004E010000}"/>
    <cellStyle name="一般 137 3 2" xfId="341" xr:uid="{00000000-0005-0000-0000-00004F010000}"/>
    <cellStyle name="一般 137 4" xfId="342" xr:uid="{00000000-0005-0000-0000-000050010000}"/>
    <cellStyle name="一般 138" xfId="343" xr:uid="{00000000-0005-0000-0000-000051010000}"/>
    <cellStyle name="一般 138 2" xfId="344" xr:uid="{00000000-0005-0000-0000-000052010000}"/>
    <cellStyle name="一般 138 2 2" xfId="345" xr:uid="{00000000-0005-0000-0000-000053010000}"/>
    <cellStyle name="一般 138 2 2 2" xfId="346" xr:uid="{00000000-0005-0000-0000-000054010000}"/>
    <cellStyle name="一般 138 2 3" xfId="347" xr:uid="{00000000-0005-0000-0000-000055010000}"/>
    <cellStyle name="一般 138 3" xfId="348" xr:uid="{00000000-0005-0000-0000-000056010000}"/>
    <cellStyle name="一般 138 3 2" xfId="349" xr:uid="{00000000-0005-0000-0000-000057010000}"/>
    <cellStyle name="一般 138 4" xfId="350" xr:uid="{00000000-0005-0000-0000-000058010000}"/>
    <cellStyle name="一般 139" xfId="351" xr:uid="{00000000-0005-0000-0000-000059010000}"/>
    <cellStyle name="一般 139 2" xfId="352" xr:uid="{00000000-0005-0000-0000-00005A010000}"/>
    <cellStyle name="一般 139 2 2" xfId="353" xr:uid="{00000000-0005-0000-0000-00005B010000}"/>
    <cellStyle name="一般 139 2 2 2" xfId="354" xr:uid="{00000000-0005-0000-0000-00005C010000}"/>
    <cellStyle name="一般 139 2 3" xfId="355" xr:uid="{00000000-0005-0000-0000-00005D010000}"/>
    <cellStyle name="一般 139 3" xfId="356" xr:uid="{00000000-0005-0000-0000-00005E010000}"/>
    <cellStyle name="一般 139 3 2" xfId="357" xr:uid="{00000000-0005-0000-0000-00005F010000}"/>
    <cellStyle name="一般 139 4" xfId="358" xr:uid="{00000000-0005-0000-0000-000060010000}"/>
    <cellStyle name="一般 14" xfId="359" xr:uid="{00000000-0005-0000-0000-000061010000}"/>
    <cellStyle name="一般 14 2" xfId="360" xr:uid="{00000000-0005-0000-0000-000062010000}"/>
    <cellStyle name="一般 14 2 2" xfId="361" xr:uid="{00000000-0005-0000-0000-000063010000}"/>
    <cellStyle name="一般 14 2 2 2" xfId="362" xr:uid="{00000000-0005-0000-0000-000064010000}"/>
    <cellStyle name="一般 14 2 3" xfId="363" xr:uid="{00000000-0005-0000-0000-000065010000}"/>
    <cellStyle name="一般 14 3" xfId="364" xr:uid="{00000000-0005-0000-0000-000066010000}"/>
    <cellStyle name="一般 14 3 2" xfId="365" xr:uid="{00000000-0005-0000-0000-000067010000}"/>
    <cellStyle name="一般 14 4" xfId="366" xr:uid="{00000000-0005-0000-0000-000068010000}"/>
    <cellStyle name="一般 140" xfId="367" xr:uid="{00000000-0005-0000-0000-000069010000}"/>
    <cellStyle name="一般 140 2" xfId="368" xr:uid="{00000000-0005-0000-0000-00006A010000}"/>
    <cellStyle name="一般 140 2 2" xfId="369" xr:uid="{00000000-0005-0000-0000-00006B010000}"/>
    <cellStyle name="一般 140 2 2 2" xfId="370" xr:uid="{00000000-0005-0000-0000-00006C010000}"/>
    <cellStyle name="一般 140 2 3" xfId="371" xr:uid="{00000000-0005-0000-0000-00006D010000}"/>
    <cellStyle name="一般 140 3" xfId="372" xr:uid="{00000000-0005-0000-0000-00006E010000}"/>
    <cellStyle name="一般 140 3 2" xfId="373" xr:uid="{00000000-0005-0000-0000-00006F010000}"/>
    <cellStyle name="一般 140 4" xfId="374" xr:uid="{00000000-0005-0000-0000-000070010000}"/>
    <cellStyle name="一般 141" xfId="375" xr:uid="{00000000-0005-0000-0000-000071010000}"/>
    <cellStyle name="一般 141 2" xfId="376" xr:uid="{00000000-0005-0000-0000-000072010000}"/>
    <cellStyle name="一般 141 2 2" xfId="377" xr:uid="{00000000-0005-0000-0000-000073010000}"/>
    <cellStyle name="一般 141 2 2 2" xfId="378" xr:uid="{00000000-0005-0000-0000-000074010000}"/>
    <cellStyle name="一般 141 2 3" xfId="379" xr:uid="{00000000-0005-0000-0000-000075010000}"/>
    <cellStyle name="一般 141 3" xfId="380" xr:uid="{00000000-0005-0000-0000-000076010000}"/>
    <cellStyle name="一般 141 3 2" xfId="381" xr:uid="{00000000-0005-0000-0000-000077010000}"/>
    <cellStyle name="一般 141 4" xfId="382" xr:uid="{00000000-0005-0000-0000-000078010000}"/>
    <cellStyle name="一般 142" xfId="383" xr:uid="{00000000-0005-0000-0000-000079010000}"/>
    <cellStyle name="一般 142 2" xfId="384" xr:uid="{00000000-0005-0000-0000-00007A010000}"/>
    <cellStyle name="一般 142 2 2" xfId="385" xr:uid="{00000000-0005-0000-0000-00007B010000}"/>
    <cellStyle name="一般 142 2 2 2" xfId="386" xr:uid="{00000000-0005-0000-0000-00007C010000}"/>
    <cellStyle name="一般 142 2 3" xfId="387" xr:uid="{00000000-0005-0000-0000-00007D010000}"/>
    <cellStyle name="一般 142 3" xfId="388" xr:uid="{00000000-0005-0000-0000-00007E010000}"/>
    <cellStyle name="一般 142 3 2" xfId="389" xr:uid="{00000000-0005-0000-0000-00007F010000}"/>
    <cellStyle name="一般 142 4" xfId="390" xr:uid="{00000000-0005-0000-0000-000080010000}"/>
    <cellStyle name="一般 143" xfId="391" xr:uid="{00000000-0005-0000-0000-000081010000}"/>
    <cellStyle name="一般 143 2" xfId="392" xr:uid="{00000000-0005-0000-0000-000082010000}"/>
    <cellStyle name="一般 143 2 2" xfId="393" xr:uid="{00000000-0005-0000-0000-000083010000}"/>
    <cellStyle name="一般 143 2 2 2" xfId="394" xr:uid="{00000000-0005-0000-0000-000084010000}"/>
    <cellStyle name="一般 143 2 3" xfId="395" xr:uid="{00000000-0005-0000-0000-000085010000}"/>
    <cellStyle name="一般 143 3" xfId="396" xr:uid="{00000000-0005-0000-0000-000086010000}"/>
    <cellStyle name="一般 143 3 2" xfId="397" xr:uid="{00000000-0005-0000-0000-000087010000}"/>
    <cellStyle name="一般 143 4" xfId="398" xr:uid="{00000000-0005-0000-0000-000088010000}"/>
    <cellStyle name="一般 144" xfId="399" xr:uid="{00000000-0005-0000-0000-000089010000}"/>
    <cellStyle name="一般 144 2" xfId="400" xr:uid="{00000000-0005-0000-0000-00008A010000}"/>
    <cellStyle name="一般 144 2 2" xfId="401" xr:uid="{00000000-0005-0000-0000-00008B010000}"/>
    <cellStyle name="一般 144 2 2 2" xfId="402" xr:uid="{00000000-0005-0000-0000-00008C010000}"/>
    <cellStyle name="一般 144 2 3" xfId="403" xr:uid="{00000000-0005-0000-0000-00008D010000}"/>
    <cellStyle name="一般 144 3" xfId="404" xr:uid="{00000000-0005-0000-0000-00008E010000}"/>
    <cellStyle name="一般 144 3 2" xfId="405" xr:uid="{00000000-0005-0000-0000-00008F010000}"/>
    <cellStyle name="一般 144 4" xfId="406" xr:uid="{00000000-0005-0000-0000-000090010000}"/>
    <cellStyle name="一般 145" xfId="407" xr:uid="{00000000-0005-0000-0000-000091010000}"/>
    <cellStyle name="一般 145 2" xfId="408" xr:uid="{00000000-0005-0000-0000-000092010000}"/>
    <cellStyle name="一般 145 2 2" xfId="409" xr:uid="{00000000-0005-0000-0000-000093010000}"/>
    <cellStyle name="一般 145 2 2 2" xfId="410" xr:uid="{00000000-0005-0000-0000-000094010000}"/>
    <cellStyle name="一般 145 2 3" xfId="411" xr:uid="{00000000-0005-0000-0000-000095010000}"/>
    <cellStyle name="一般 145 3" xfId="412" xr:uid="{00000000-0005-0000-0000-000096010000}"/>
    <cellStyle name="一般 145 3 2" xfId="413" xr:uid="{00000000-0005-0000-0000-000097010000}"/>
    <cellStyle name="一般 145 4" xfId="414" xr:uid="{00000000-0005-0000-0000-000098010000}"/>
    <cellStyle name="一般 146" xfId="415" xr:uid="{00000000-0005-0000-0000-000099010000}"/>
    <cellStyle name="一般 146 2" xfId="416" xr:uid="{00000000-0005-0000-0000-00009A010000}"/>
    <cellStyle name="一般 146 2 2" xfId="417" xr:uid="{00000000-0005-0000-0000-00009B010000}"/>
    <cellStyle name="一般 146 2 2 2" xfId="418" xr:uid="{00000000-0005-0000-0000-00009C010000}"/>
    <cellStyle name="一般 146 2 3" xfId="419" xr:uid="{00000000-0005-0000-0000-00009D010000}"/>
    <cellStyle name="一般 146 3" xfId="420" xr:uid="{00000000-0005-0000-0000-00009E010000}"/>
    <cellStyle name="一般 146 3 2" xfId="421" xr:uid="{00000000-0005-0000-0000-00009F010000}"/>
    <cellStyle name="一般 146 4" xfId="422" xr:uid="{00000000-0005-0000-0000-0000A0010000}"/>
    <cellStyle name="一般 147" xfId="423" xr:uid="{00000000-0005-0000-0000-0000A1010000}"/>
    <cellStyle name="一般 147 2" xfId="424" xr:uid="{00000000-0005-0000-0000-0000A2010000}"/>
    <cellStyle name="一般 147 2 2" xfId="425" xr:uid="{00000000-0005-0000-0000-0000A3010000}"/>
    <cellStyle name="一般 147 2 2 2" xfId="426" xr:uid="{00000000-0005-0000-0000-0000A4010000}"/>
    <cellStyle name="一般 147 2 3" xfId="427" xr:uid="{00000000-0005-0000-0000-0000A5010000}"/>
    <cellStyle name="一般 147 3" xfId="428" xr:uid="{00000000-0005-0000-0000-0000A6010000}"/>
    <cellStyle name="一般 147 3 2" xfId="429" xr:uid="{00000000-0005-0000-0000-0000A7010000}"/>
    <cellStyle name="一般 147 4" xfId="430" xr:uid="{00000000-0005-0000-0000-0000A8010000}"/>
    <cellStyle name="一般 148" xfId="431" xr:uid="{00000000-0005-0000-0000-0000A9010000}"/>
    <cellStyle name="一般 148 2" xfId="432" xr:uid="{00000000-0005-0000-0000-0000AA010000}"/>
    <cellStyle name="一般 148 2 2" xfId="433" xr:uid="{00000000-0005-0000-0000-0000AB010000}"/>
    <cellStyle name="一般 148 2 2 2" xfId="434" xr:uid="{00000000-0005-0000-0000-0000AC010000}"/>
    <cellStyle name="一般 148 2 3" xfId="435" xr:uid="{00000000-0005-0000-0000-0000AD010000}"/>
    <cellStyle name="一般 148 3" xfId="436" xr:uid="{00000000-0005-0000-0000-0000AE010000}"/>
    <cellStyle name="一般 148 3 2" xfId="437" xr:uid="{00000000-0005-0000-0000-0000AF010000}"/>
    <cellStyle name="一般 148 4" xfId="438" xr:uid="{00000000-0005-0000-0000-0000B0010000}"/>
    <cellStyle name="一般 149" xfId="439" xr:uid="{00000000-0005-0000-0000-0000B1010000}"/>
    <cellStyle name="一般 149 2" xfId="440" xr:uid="{00000000-0005-0000-0000-0000B2010000}"/>
    <cellStyle name="一般 149 2 2" xfId="441" xr:uid="{00000000-0005-0000-0000-0000B3010000}"/>
    <cellStyle name="一般 149 2 2 2" xfId="442" xr:uid="{00000000-0005-0000-0000-0000B4010000}"/>
    <cellStyle name="一般 149 2 3" xfId="443" xr:uid="{00000000-0005-0000-0000-0000B5010000}"/>
    <cellStyle name="一般 149 3" xfId="444" xr:uid="{00000000-0005-0000-0000-0000B6010000}"/>
    <cellStyle name="一般 149 3 2" xfId="445" xr:uid="{00000000-0005-0000-0000-0000B7010000}"/>
    <cellStyle name="一般 149 4" xfId="446" xr:uid="{00000000-0005-0000-0000-0000B8010000}"/>
    <cellStyle name="一般 15" xfId="447" xr:uid="{00000000-0005-0000-0000-0000B9010000}"/>
    <cellStyle name="一般 15 2" xfId="448" xr:uid="{00000000-0005-0000-0000-0000BA010000}"/>
    <cellStyle name="一般 15 2 2" xfId="449" xr:uid="{00000000-0005-0000-0000-0000BB010000}"/>
    <cellStyle name="一般 15 2 2 2" xfId="450" xr:uid="{00000000-0005-0000-0000-0000BC010000}"/>
    <cellStyle name="一般 15 2 3" xfId="451" xr:uid="{00000000-0005-0000-0000-0000BD010000}"/>
    <cellStyle name="一般 15 3" xfId="452" xr:uid="{00000000-0005-0000-0000-0000BE010000}"/>
    <cellStyle name="一般 15 3 2" xfId="453" xr:uid="{00000000-0005-0000-0000-0000BF010000}"/>
    <cellStyle name="一般 15 4" xfId="454" xr:uid="{00000000-0005-0000-0000-0000C0010000}"/>
    <cellStyle name="一般 150" xfId="455" xr:uid="{00000000-0005-0000-0000-0000C1010000}"/>
    <cellStyle name="一般 150 2" xfId="456" xr:uid="{00000000-0005-0000-0000-0000C2010000}"/>
    <cellStyle name="一般 150 2 2" xfId="457" xr:uid="{00000000-0005-0000-0000-0000C3010000}"/>
    <cellStyle name="一般 150 2 2 2" xfId="458" xr:uid="{00000000-0005-0000-0000-0000C4010000}"/>
    <cellStyle name="一般 150 2 3" xfId="459" xr:uid="{00000000-0005-0000-0000-0000C5010000}"/>
    <cellStyle name="一般 150 3" xfId="460" xr:uid="{00000000-0005-0000-0000-0000C6010000}"/>
    <cellStyle name="一般 150 3 2" xfId="461" xr:uid="{00000000-0005-0000-0000-0000C7010000}"/>
    <cellStyle name="一般 150 4" xfId="462" xr:uid="{00000000-0005-0000-0000-0000C8010000}"/>
    <cellStyle name="一般 151" xfId="463" xr:uid="{00000000-0005-0000-0000-0000C9010000}"/>
    <cellStyle name="一般 151 2" xfId="464" xr:uid="{00000000-0005-0000-0000-0000CA010000}"/>
    <cellStyle name="一般 151 2 2" xfId="465" xr:uid="{00000000-0005-0000-0000-0000CB010000}"/>
    <cellStyle name="一般 151 2 2 2" xfId="466" xr:uid="{00000000-0005-0000-0000-0000CC010000}"/>
    <cellStyle name="一般 151 2 3" xfId="467" xr:uid="{00000000-0005-0000-0000-0000CD010000}"/>
    <cellStyle name="一般 151 3" xfId="468" xr:uid="{00000000-0005-0000-0000-0000CE010000}"/>
    <cellStyle name="一般 151 3 2" xfId="469" xr:uid="{00000000-0005-0000-0000-0000CF010000}"/>
    <cellStyle name="一般 151 4" xfId="470" xr:uid="{00000000-0005-0000-0000-0000D0010000}"/>
    <cellStyle name="一般 152" xfId="471" xr:uid="{00000000-0005-0000-0000-0000D1010000}"/>
    <cellStyle name="一般 152 2" xfId="472" xr:uid="{00000000-0005-0000-0000-0000D2010000}"/>
    <cellStyle name="一般 152 2 2" xfId="473" xr:uid="{00000000-0005-0000-0000-0000D3010000}"/>
    <cellStyle name="一般 152 2 2 2" xfId="474" xr:uid="{00000000-0005-0000-0000-0000D4010000}"/>
    <cellStyle name="一般 152 2 3" xfId="475" xr:uid="{00000000-0005-0000-0000-0000D5010000}"/>
    <cellStyle name="一般 152 3" xfId="476" xr:uid="{00000000-0005-0000-0000-0000D6010000}"/>
    <cellStyle name="一般 152 3 2" xfId="477" xr:uid="{00000000-0005-0000-0000-0000D7010000}"/>
    <cellStyle name="一般 152 4" xfId="478" xr:uid="{00000000-0005-0000-0000-0000D8010000}"/>
    <cellStyle name="一般 153" xfId="479" xr:uid="{00000000-0005-0000-0000-0000D9010000}"/>
    <cellStyle name="一般 153 2" xfId="480" xr:uid="{00000000-0005-0000-0000-0000DA010000}"/>
    <cellStyle name="一般 153 2 2" xfId="481" xr:uid="{00000000-0005-0000-0000-0000DB010000}"/>
    <cellStyle name="一般 153 2 2 2" xfId="482" xr:uid="{00000000-0005-0000-0000-0000DC010000}"/>
    <cellStyle name="一般 153 2 3" xfId="483" xr:uid="{00000000-0005-0000-0000-0000DD010000}"/>
    <cellStyle name="一般 153 3" xfId="484" xr:uid="{00000000-0005-0000-0000-0000DE010000}"/>
    <cellStyle name="一般 153 3 2" xfId="485" xr:uid="{00000000-0005-0000-0000-0000DF010000}"/>
    <cellStyle name="一般 153 4" xfId="486" xr:uid="{00000000-0005-0000-0000-0000E0010000}"/>
    <cellStyle name="一般 154" xfId="487" xr:uid="{00000000-0005-0000-0000-0000E1010000}"/>
    <cellStyle name="一般 154 2" xfId="488" xr:uid="{00000000-0005-0000-0000-0000E2010000}"/>
    <cellStyle name="一般 154 2 2" xfId="489" xr:uid="{00000000-0005-0000-0000-0000E3010000}"/>
    <cellStyle name="一般 154 2 2 2" xfId="490" xr:uid="{00000000-0005-0000-0000-0000E4010000}"/>
    <cellStyle name="一般 154 2 3" xfId="491" xr:uid="{00000000-0005-0000-0000-0000E5010000}"/>
    <cellStyle name="一般 154 3" xfId="492" xr:uid="{00000000-0005-0000-0000-0000E6010000}"/>
    <cellStyle name="一般 154 3 2" xfId="493" xr:uid="{00000000-0005-0000-0000-0000E7010000}"/>
    <cellStyle name="一般 154 4" xfId="494" xr:uid="{00000000-0005-0000-0000-0000E8010000}"/>
    <cellStyle name="一般 155" xfId="495" xr:uid="{00000000-0005-0000-0000-0000E9010000}"/>
    <cellStyle name="一般 155 2" xfId="496" xr:uid="{00000000-0005-0000-0000-0000EA010000}"/>
    <cellStyle name="一般 155 2 2" xfId="497" xr:uid="{00000000-0005-0000-0000-0000EB010000}"/>
    <cellStyle name="一般 155 2 2 2" xfId="498" xr:uid="{00000000-0005-0000-0000-0000EC010000}"/>
    <cellStyle name="一般 155 2 3" xfId="499" xr:uid="{00000000-0005-0000-0000-0000ED010000}"/>
    <cellStyle name="一般 155 3" xfId="500" xr:uid="{00000000-0005-0000-0000-0000EE010000}"/>
    <cellStyle name="一般 155 3 2" xfId="501" xr:uid="{00000000-0005-0000-0000-0000EF010000}"/>
    <cellStyle name="一般 155 4" xfId="502" xr:uid="{00000000-0005-0000-0000-0000F0010000}"/>
    <cellStyle name="一般 156" xfId="503" xr:uid="{00000000-0005-0000-0000-0000F1010000}"/>
    <cellStyle name="一般 156 2" xfId="504" xr:uid="{00000000-0005-0000-0000-0000F2010000}"/>
    <cellStyle name="一般 156 2 2" xfId="505" xr:uid="{00000000-0005-0000-0000-0000F3010000}"/>
    <cellStyle name="一般 156 2 2 2" xfId="506" xr:uid="{00000000-0005-0000-0000-0000F4010000}"/>
    <cellStyle name="一般 156 2 3" xfId="507" xr:uid="{00000000-0005-0000-0000-0000F5010000}"/>
    <cellStyle name="一般 156 3" xfId="508" xr:uid="{00000000-0005-0000-0000-0000F6010000}"/>
    <cellStyle name="一般 156 3 2" xfId="509" xr:uid="{00000000-0005-0000-0000-0000F7010000}"/>
    <cellStyle name="一般 156 4" xfId="510" xr:uid="{00000000-0005-0000-0000-0000F8010000}"/>
    <cellStyle name="一般 157" xfId="511" xr:uid="{00000000-0005-0000-0000-0000F9010000}"/>
    <cellStyle name="一般 157 2" xfId="512" xr:uid="{00000000-0005-0000-0000-0000FA010000}"/>
    <cellStyle name="一般 157 2 2" xfId="513" xr:uid="{00000000-0005-0000-0000-0000FB010000}"/>
    <cellStyle name="一般 157 2 2 2" xfId="514" xr:uid="{00000000-0005-0000-0000-0000FC010000}"/>
    <cellStyle name="一般 157 2 3" xfId="515" xr:uid="{00000000-0005-0000-0000-0000FD010000}"/>
    <cellStyle name="一般 157 3" xfId="516" xr:uid="{00000000-0005-0000-0000-0000FE010000}"/>
    <cellStyle name="一般 157 3 2" xfId="517" xr:uid="{00000000-0005-0000-0000-0000FF010000}"/>
    <cellStyle name="一般 157 4" xfId="518" xr:uid="{00000000-0005-0000-0000-000000020000}"/>
    <cellStyle name="一般 158" xfId="519" xr:uid="{00000000-0005-0000-0000-000001020000}"/>
    <cellStyle name="一般 158 2" xfId="520" xr:uid="{00000000-0005-0000-0000-000002020000}"/>
    <cellStyle name="一般 158 2 2" xfId="521" xr:uid="{00000000-0005-0000-0000-000003020000}"/>
    <cellStyle name="一般 158 2 2 2" xfId="522" xr:uid="{00000000-0005-0000-0000-000004020000}"/>
    <cellStyle name="一般 158 2 3" xfId="523" xr:uid="{00000000-0005-0000-0000-000005020000}"/>
    <cellStyle name="一般 158 3" xfId="524" xr:uid="{00000000-0005-0000-0000-000006020000}"/>
    <cellStyle name="一般 158 3 2" xfId="525" xr:uid="{00000000-0005-0000-0000-000007020000}"/>
    <cellStyle name="一般 158 4" xfId="526" xr:uid="{00000000-0005-0000-0000-000008020000}"/>
    <cellStyle name="一般 159" xfId="527" xr:uid="{00000000-0005-0000-0000-000009020000}"/>
    <cellStyle name="一般 159 2" xfId="528" xr:uid="{00000000-0005-0000-0000-00000A020000}"/>
    <cellStyle name="一般 159 2 2" xfId="529" xr:uid="{00000000-0005-0000-0000-00000B020000}"/>
    <cellStyle name="一般 159 2 2 2" xfId="530" xr:uid="{00000000-0005-0000-0000-00000C020000}"/>
    <cellStyle name="一般 159 2 3" xfId="531" xr:uid="{00000000-0005-0000-0000-00000D020000}"/>
    <cellStyle name="一般 159 3" xfId="532" xr:uid="{00000000-0005-0000-0000-00000E020000}"/>
    <cellStyle name="一般 159 3 2" xfId="533" xr:uid="{00000000-0005-0000-0000-00000F020000}"/>
    <cellStyle name="一般 159 4" xfId="534" xr:uid="{00000000-0005-0000-0000-000010020000}"/>
    <cellStyle name="一般 16" xfId="535" xr:uid="{00000000-0005-0000-0000-000011020000}"/>
    <cellStyle name="一般 16 2" xfId="536" xr:uid="{00000000-0005-0000-0000-000012020000}"/>
    <cellStyle name="一般 16 2 2" xfId="537" xr:uid="{00000000-0005-0000-0000-000013020000}"/>
    <cellStyle name="一般 16 2 2 2" xfId="538" xr:uid="{00000000-0005-0000-0000-000014020000}"/>
    <cellStyle name="一般 16 2 3" xfId="539" xr:uid="{00000000-0005-0000-0000-000015020000}"/>
    <cellStyle name="一般 16 3" xfId="540" xr:uid="{00000000-0005-0000-0000-000016020000}"/>
    <cellStyle name="一般 16 3 2" xfId="541" xr:uid="{00000000-0005-0000-0000-000017020000}"/>
    <cellStyle name="一般 16 4" xfId="542" xr:uid="{00000000-0005-0000-0000-000018020000}"/>
    <cellStyle name="一般 160" xfId="543" xr:uid="{00000000-0005-0000-0000-000019020000}"/>
    <cellStyle name="一般 160 2" xfId="544" xr:uid="{00000000-0005-0000-0000-00001A020000}"/>
    <cellStyle name="一般 160 2 2" xfId="545" xr:uid="{00000000-0005-0000-0000-00001B020000}"/>
    <cellStyle name="一般 160 2 2 2" xfId="546" xr:uid="{00000000-0005-0000-0000-00001C020000}"/>
    <cellStyle name="一般 160 2 3" xfId="547" xr:uid="{00000000-0005-0000-0000-00001D020000}"/>
    <cellStyle name="一般 160 3" xfId="548" xr:uid="{00000000-0005-0000-0000-00001E020000}"/>
    <cellStyle name="一般 160 3 2" xfId="549" xr:uid="{00000000-0005-0000-0000-00001F020000}"/>
    <cellStyle name="一般 160 4" xfId="550" xr:uid="{00000000-0005-0000-0000-000020020000}"/>
    <cellStyle name="一般 161" xfId="551" xr:uid="{00000000-0005-0000-0000-000021020000}"/>
    <cellStyle name="一般 161 2" xfId="552" xr:uid="{00000000-0005-0000-0000-000022020000}"/>
    <cellStyle name="一般 161 2 2" xfId="553" xr:uid="{00000000-0005-0000-0000-000023020000}"/>
    <cellStyle name="一般 161 2 2 2" xfId="554" xr:uid="{00000000-0005-0000-0000-000024020000}"/>
    <cellStyle name="一般 161 2 3" xfId="555" xr:uid="{00000000-0005-0000-0000-000025020000}"/>
    <cellStyle name="一般 161 3" xfId="556" xr:uid="{00000000-0005-0000-0000-000026020000}"/>
    <cellStyle name="一般 161 3 2" xfId="557" xr:uid="{00000000-0005-0000-0000-000027020000}"/>
    <cellStyle name="一般 161 4" xfId="558" xr:uid="{00000000-0005-0000-0000-000028020000}"/>
    <cellStyle name="一般 162" xfId="559" xr:uid="{00000000-0005-0000-0000-000029020000}"/>
    <cellStyle name="一般 162 2" xfId="560" xr:uid="{00000000-0005-0000-0000-00002A020000}"/>
    <cellStyle name="一般 162 2 2" xfId="561" xr:uid="{00000000-0005-0000-0000-00002B020000}"/>
    <cellStyle name="一般 162 2 2 2" xfId="562" xr:uid="{00000000-0005-0000-0000-00002C020000}"/>
    <cellStyle name="一般 162 2 3" xfId="563" xr:uid="{00000000-0005-0000-0000-00002D020000}"/>
    <cellStyle name="一般 162 3" xfId="564" xr:uid="{00000000-0005-0000-0000-00002E020000}"/>
    <cellStyle name="一般 162 3 2" xfId="565" xr:uid="{00000000-0005-0000-0000-00002F020000}"/>
    <cellStyle name="一般 162 4" xfId="566" xr:uid="{00000000-0005-0000-0000-000030020000}"/>
    <cellStyle name="一般 163" xfId="567" xr:uid="{00000000-0005-0000-0000-000031020000}"/>
    <cellStyle name="一般 163 2" xfId="568" xr:uid="{00000000-0005-0000-0000-000032020000}"/>
    <cellStyle name="一般 163 2 2" xfId="569" xr:uid="{00000000-0005-0000-0000-000033020000}"/>
    <cellStyle name="一般 163 2 2 2" xfId="570" xr:uid="{00000000-0005-0000-0000-000034020000}"/>
    <cellStyle name="一般 163 2 3" xfId="571" xr:uid="{00000000-0005-0000-0000-000035020000}"/>
    <cellStyle name="一般 163 3" xfId="572" xr:uid="{00000000-0005-0000-0000-000036020000}"/>
    <cellStyle name="一般 163 3 2" xfId="573" xr:uid="{00000000-0005-0000-0000-000037020000}"/>
    <cellStyle name="一般 163 4" xfId="574" xr:uid="{00000000-0005-0000-0000-000038020000}"/>
    <cellStyle name="一般 164" xfId="575" xr:uid="{00000000-0005-0000-0000-000039020000}"/>
    <cellStyle name="一般 164 2" xfId="576" xr:uid="{00000000-0005-0000-0000-00003A020000}"/>
    <cellStyle name="一般 164 2 2" xfId="577" xr:uid="{00000000-0005-0000-0000-00003B020000}"/>
    <cellStyle name="一般 164 2 2 2" xfId="578" xr:uid="{00000000-0005-0000-0000-00003C020000}"/>
    <cellStyle name="一般 164 2 3" xfId="579" xr:uid="{00000000-0005-0000-0000-00003D020000}"/>
    <cellStyle name="一般 164 3" xfId="580" xr:uid="{00000000-0005-0000-0000-00003E020000}"/>
    <cellStyle name="一般 164 3 2" xfId="581" xr:uid="{00000000-0005-0000-0000-00003F020000}"/>
    <cellStyle name="一般 164 4" xfId="582" xr:uid="{00000000-0005-0000-0000-000040020000}"/>
    <cellStyle name="一般 165" xfId="583" xr:uid="{00000000-0005-0000-0000-000041020000}"/>
    <cellStyle name="一般 165 2" xfId="584" xr:uid="{00000000-0005-0000-0000-000042020000}"/>
    <cellStyle name="一般 165 2 2" xfId="585" xr:uid="{00000000-0005-0000-0000-000043020000}"/>
    <cellStyle name="一般 165 2 2 2" xfId="586" xr:uid="{00000000-0005-0000-0000-000044020000}"/>
    <cellStyle name="一般 165 2 3" xfId="587" xr:uid="{00000000-0005-0000-0000-000045020000}"/>
    <cellStyle name="一般 165 3" xfId="588" xr:uid="{00000000-0005-0000-0000-000046020000}"/>
    <cellStyle name="一般 165 3 2" xfId="589" xr:uid="{00000000-0005-0000-0000-000047020000}"/>
    <cellStyle name="一般 165 4" xfId="590" xr:uid="{00000000-0005-0000-0000-000048020000}"/>
    <cellStyle name="一般 166" xfId="591" xr:uid="{00000000-0005-0000-0000-000049020000}"/>
    <cellStyle name="一般 166 2" xfId="592" xr:uid="{00000000-0005-0000-0000-00004A020000}"/>
    <cellStyle name="一般 166 2 2" xfId="593" xr:uid="{00000000-0005-0000-0000-00004B020000}"/>
    <cellStyle name="一般 166 2 2 2" xfId="594" xr:uid="{00000000-0005-0000-0000-00004C020000}"/>
    <cellStyle name="一般 166 2 3" xfId="595" xr:uid="{00000000-0005-0000-0000-00004D020000}"/>
    <cellStyle name="一般 166 3" xfId="596" xr:uid="{00000000-0005-0000-0000-00004E020000}"/>
    <cellStyle name="一般 166 3 2" xfId="597" xr:uid="{00000000-0005-0000-0000-00004F020000}"/>
    <cellStyle name="一般 166 4" xfId="598" xr:uid="{00000000-0005-0000-0000-000050020000}"/>
    <cellStyle name="一般 167" xfId="599" xr:uid="{00000000-0005-0000-0000-000051020000}"/>
    <cellStyle name="一般 167 2" xfId="600" xr:uid="{00000000-0005-0000-0000-000052020000}"/>
    <cellStyle name="一般 167 2 2" xfId="601" xr:uid="{00000000-0005-0000-0000-000053020000}"/>
    <cellStyle name="一般 167 2 2 2" xfId="602" xr:uid="{00000000-0005-0000-0000-000054020000}"/>
    <cellStyle name="一般 167 2 3" xfId="603" xr:uid="{00000000-0005-0000-0000-000055020000}"/>
    <cellStyle name="一般 167 3" xfId="604" xr:uid="{00000000-0005-0000-0000-000056020000}"/>
    <cellStyle name="一般 167 3 2" xfId="605" xr:uid="{00000000-0005-0000-0000-000057020000}"/>
    <cellStyle name="一般 167 4" xfId="606" xr:uid="{00000000-0005-0000-0000-000058020000}"/>
    <cellStyle name="一般 168" xfId="607" xr:uid="{00000000-0005-0000-0000-000059020000}"/>
    <cellStyle name="一般 168 2" xfId="608" xr:uid="{00000000-0005-0000-0000-00005A020000}"/>
    <cellStyle name="一般 168 2 2" xfId="609" xr:uid="{00000000-0005-0000-0000-00005B020000}"/>
    <cellStyle name="一般 168 2 2 2" xfId="610" xr:uid="{00000000-0005-0000-0000-00005C020000}"/>
    <cellStyle name="一般 168 2 3" xfId="611" xr:uid="{00000000-0005-0000-0000-00005D020000}"/>
    <cellStyle name="一般 168 3" xfId="612" xr:uid="{00000000-0005-0000-0000-00005E020000}"/>
    <cellStyle name="一般 168 3 2" xfId="613" xr:uid="{00000000-0005-0000-0000-00005F020000}"/>
    <cellStyle name="一般 168 4" xfId="614" xr:uid="{00000000-0005-0000-0000-000060020000}"/>
    <cellStyle name="一般 169" xfId="615" xr:uid="{00000000-0005-0000-0000-000061020000}"/>
    <cellStyle name="一般 169 2" xfId="616" xr:uid="{00000000-0005-0000-0000-000062020000}"/>
    <cellStyle name="一般 169 2 2" xfId="617" xr:uid="{00000000-0005-0000-0000-000063020000}"/>
    <cellStyle name="一般 169 2 2 2" xfId="618" xr:uid="{00000000-0005-0000-0000-000064020000}"/>
    <cellStyle name="一般 169 2 3" xfId="619" xr:uid="{00000000-0005-0000-0000-000065020000}"/>
    <cellStyle name="一般 169 3" xfId="620" xr:uid="{00000000-0005-0000-0000-000066020000}"/>
    <cellStyle name="一般 169 3 2" xfId="621" xr:uid="{00000000-0005-0000-0000-000067020000}"/>
    <cellStyle name="一般 169 4" xfId="622" xr:uid="{00000000-0005-0000-0000-000068020000}"/>
    <cellStyle name="一般 17" xfId="623" xr:uid="{00000000-0005-0000-0000-000069020000}"/>
    <cellStyle name="一般 17 2" xfId="624" xr:uid="{00000000-0005-0000-0000-00006A020000}"/>
    <cellStyle name="一般 17 2 2" xfId="625" xr:uid="{00000000-0005-0000-0000-00006B020000}"/>
    <cellStyle name="一般 17 2 2 2" xfId="626" xr:uid="{00000000-0005-0000-0000-00006C020000}"/>
    <cellStyle name="一般 17 2 3" xfId="627" xr:uid="{00000000-0005-0000-0000-00006D020000}"/>
    <cellStyle name="一般 17 3" xfId="628" xr:uid="{00000000-0005-0000-0000-00006E020000}"/>
    <cellStyle name="一般 17 3 2" xfId="629" xr:uid="{00000000-0005-0000-0000-00006F020000}"/>
    <cellStyle name="一般 17 4" xfId="630" xr:uid="{00000000-0005-0000-0000-000070020000}"/>
    <cellStyle name="一般 170" xfId="631" xr:uid="{00000000-0005-0000-0000-000071020000}"/>
    <cellStyle name="一般 170 2" xfId="632" xr:uid="{00000000-0005-0000-0000-000072020000}"/>
    <cellStyle name="一般 170 2 2" xfId="633" xr:uid="{00000000-0005-0000-0000-000073020000}"/>
    <cellStyle name="一般 170 2 2 2" xfId="634" xr:uid="{00000000-0005-0000-0000-000074020000}"/>
    <cellStyle name="一般 170 2 3" xfId="635" xr:uid="{00000000-0005-0000-0000-000075020000}"/>
    <cellStyle name="一般 170 3" xfId="636" xr:uid="{00000000-0005-0000-0000-000076020000}"/>
    <cellStyle name="一般 170 3 2" xfId="637" xr:uid="{00000000-0005-0000-0000-000077020000}"/>
    <cellStyle name="一般 170 4" xfId="638" xr:uid="{00000000-0005-0000-0000-000078020000}"/>
    <cellStyle name="一般 171" xfId="639" xr:uid="{00000000-0005-0000-0000-000079020000}"/>
    <cellStyle name="一般 171 2" xfId="640" xr:uid="{00000000-0005-0000-0000-00007A020000}"/>
    <cellStyle name="一般 171 2 2" xfId="641" xr:uid="{00000000-0005-0000-0000-00007B020000}"/>
    <cellStyle name="一般 171 2 2 2" xfId="642" xr:uid="{00000000-0005-0000-0000-00007C020000}"/>
    <cellStyle name="一般 171 2 3" xfId="643" xr:uid="{00000000-0005-0000-0000-00007D020000}"/>
    <cellStyle name="一般 171 3" xfId="644" xr:uid="{00000000-0005-0000-0000-00007E020000}"/>
    <cellStyle name="一般 171 3 2" xfId="645" xr:uid="{00000000-0005-0000-0000-00007F020000}"/>
    <cellStyle name="一般 171 4" xfId="646" xr:uid="{00000000-0005-0000-0000-000080020000}"/>
    <cellStyle name="一般 172" xfId="647" xr:uid="{00000000-0005-0000-0000-000081020000}"/>
    <cellStyle name="一般 172 2" xfId="648" xr:uid="{00000000-0005-0000-0000-000082020000}"/>
    <cellStyle name="一般 172 2 2" xfId="649" xr:uid="{00000000-0005-0000-0000-000083020000}"/>
    <cellStyle name="一般 172 2 2 2" xfId="650" xr:uid="{00000000-0005-0000-0000-000084020000}"/>
    <cellStyle name="一般 172 2 3" xfId="651" xr:uid="{00000000-0005-0000-0000-000085020000}"/>
    <cellStyle name="一般 172 3" xfId="652" xr:uid="{00000000-0005-0000-0000-000086020000}"/>
    <cellStyle name="一般 172 3 2" xfId="653" xr:uid="{00000000-0005-0000-0000-000087020000}"/>
    <cellStyle name="一般 172 4" xfId="654" xr:uid="{00000000-0005-0000-0000-000088020000}"/>
    <cellStyle name="一般 173" xfId="655" xr:uid="{00000000-0005-0000-0000-000089020000}"/>
    <cellStyle name="一般 173 2" xfId="656" xr:uid="{00000000-0005-0000-0000-00008A020000}"/>
    <cellStyle name="一般 173 2 2" xfId="657" xr:uid="{00000000-0005-0000-0000-00008B020000}"/>
    <cellStyle name="一般 173 2 2 2" xfId="658" xr:uid="{00000000-0005-0000-0000-00008C020000}"/>
    <cellStyle name="一般 173 2 3" xfId="659" xr:uid="{00000000-0005-0000-0000-00008D020000}"/>
    <cellStyle name="一般 173 3" xfId="660" xr:uid="{00000000-0005-0000-0000-00008E020000}"/>
    <cellStyle name="一般 173 3 2" xfId="661" xr:uid="{00000000-0005-0000-0000-00008F020000}"/>
    <cellStyle name="一般 173 4" xfId="662" xr:uid="{00000000-0005-0000-0000-000090020000}"/>
    <cellStyle name="一般 174" xfId="663" xr:uid="{00000000-0005-0000-0000-000091020000}"/>
    <cellStyle name="一般 174 2" xfId="664" xr:uid="{00000000-0005-0000-0000-000092020000}"/>
    <cellStyle name="一般 174 2 2" xfId="665" xr:uid="{00000000-0005-0000-0000-000093020000}"/>
    <cellStyle name="一般 174 2 2 2" xfId="666" xr:uid="{00000000-0005-0000-0000-000094020000}"/>
    <cellStyle name="一般 174 2 3" xfId="667" xr:uid="{00000000-0005-0000-0000-000095020000}"/>
    <cellStyle name="一般 174 3" xfId="668" xr:uid="{00000000-0005-0000-0000-000096020000}"/>
    <cellStyle name="一般 174 3 2" xfId="669" xr:uid="{00000000-0005-0000-0000-000097020000}"/>
    <cellStyle name="一般 174 4" xfId="670" xr:uid="{00000000-0005-0000-0000-000098020000}"/>
    <cellStyle name="一般 175" xfId="671" xr:uid="{00000000-0005-0000-0000-000099020000}"/>
    <cellStyle name="一般 175 2" xfId="672" xr:uid="{00000000-0005-0000-0000-00009A020000}"/>
    <cellStyle name="一般 175 2 2" xfId="673" xr:uid="{00000000-0005-0000-0000-00009B020000}"/>
    <cellStyle name="一般 175 2 2 2" xfId="674" xr:uid="{00000000-0005-0000-0000-00009C020000}"/>
    <cellStyle name="一般 175 2 3" xfId="675" xr:uid="{00000000-0005-0000-0000-00009D020000}"/>
    <cellStyle name="一般 175 3" xfId="676" xr:uid="{00000000-0005-0000-0000-00009E020000}"/>
    <cellStyle name="一般 175 3 2" xfId="677" xr:uid="{00000000-0005-0000-0000-00009F020000}"/>
    <cellStyle name="一般 175 4" xfId="678" xr:uid="{00000000-0005-0000-0000-0000A0020000}"/>
    <cellStyle name="一般 176" xfId="679" xr:uid="{00000000-0005-0000-0000-0000A1020000}"/>
    <cellStyle name="一般 176 2" xfId="680" xr:uid="{00000000-0005-0000-0000-0000A2020000}"/>
    <cellStyle name="一般 176 2 2" xfId="681" xr:uid="{00000000-0005-0000-0000-0000A3020000}"/>
    <cellStyle name="一般 176 2 2 2" xfId="682" xr:uid="{00000000-0005-0000-0000-0000A4020000}"/>
    <cellStyle name="一般 176 2 3" xfId="683" xr:uid="{00000000-0005-0000-0000-0000A5020000}"/>
    <cellStyle name="一般 176 3" xfId="684" xr:uid="{00000000-0005-0000-0000-0000A6020000}"/>
    <cellStyle name="一般 176 3 2" xfId="685" xr:uid="{00000000-0005-0000-0000-0000A7020000}"/>
    <cellStyle name="一般 176 4" xfId="686" xr:uid="{00000000-0005-0000-0000-0000A8020000}"/>
    <cellStyle name="一般 177" xfId="687" xr:uid="{00000000-0005-0000-0000-0000A9020000}"/>
    <cellStyle name="一般 177 2" xfId="688" xr:uid="{00000000-0005-0000-0000-0000AA020000}"/>
    <cellStyle name="一般 177 2 2" xfId="689" xr:uid="{00000000-0005-0000-0000-0000AB020000}"/>
    <cellStyle name="一般 177 2 2 2" xfId="690" xr:uid="{00000000-0005-0000-0000-0000AC020000}"/>
    <cellStyle name="一般 177 2 3" xfId="691" xr:uid="{00000000-0005-0000-0000-0000AD020000}"/>
    <cellStyle name="一般 177 3" xfId="692" xr:uid="{00000000-0005-0000-0000-0000AE020000}"/>
    <cellStyle name="一般 177 3 2" xfId="693" xr:uid="{00000000-0005-0000-0000-0000AF020000}"/>
    <cellStyle name="一般 177 4" xfId="694" xr:uid="{00000000-0005-0000-0000-0000B0020000}"/>
    <cellStyle name="一般 178" xfId="695" xr:uid="{00000000-0005-0000-0000-0000B1020000}"/>
    <cellStyle name="一般 178 2" xfId="696" xr:uid="{00000000-0005-0000-0000-0000B2020000}"/>
    <cellStyle name="一般 178 2 2" xfId="697" xr:uid="{00000000-0005-0000-0000-0000B3020000}"/>
    <cellStyle name="一般 178 2 2 2" xfId="698" xr:uid="{00000000-0005-0000-0000-0000B4020000}"/>
    <cellStyle name="一般 178 2 3" xfId="699" xr:uid="{00000000-0005-0000-0000-0000B5020000}"/>
    <cellStyle name="一般 178 3" xfId="700" xr:uid="{00000000-0005-0000-0000-0000B6020000}"/>
    <cellStyle name="一般 178 3 2" xfId="701" xr:uid="{00000000-0005-0000-0000-0000B7020000}"/>
    <cellStyle name="一般 178 4" xfId="702" xr:uid="{00000000-0005-0000-0000-0000B8020000}"/>
    <cellStyle name="一般 179" xfId="703" xr:uid="{00000000-0005-0000-0000-0000B9020000}"/>
    <cellStyle name="一般 179 2" xfId="704" xr:uid="{00000000-0005-0000-0000-0000BA020000}"/>
    <cellStyle name="一般 179 2 2" xfId="705" xr:uid="{00000000-0005-0000-0000-0000BB020000}"/>
    <cellStyle name="一般 179 2 2 2" xfId="706" xr:uid="{00000000-0005-0000-0000-0000BC020000}"/>
    <cellStyle name="一般 179 2 3" xfId="707" xr:uid="{00000000-0005-0000-0000-0000BD020000}"/>
    <cellStyle name="一般 179 3" xfId="708" xr:uid="{00000000-0005-0000-0000-0000BE020000}"/>
    <cellStyle name="一般 179 3 2" xfId="709" xr:uid="{00000000-0005-0000-0000-0000BF020000}"/>
    <cellStyle name="一般 179 4" xfId="710" xr:uid="{00000000-0005-0000-0000-0000C0020000}"/>
    <cellStyle name="一般 18" xfId="711" xr:uid="{00000000-0005-0000-0000-0000C1020000}"/>
    <cellStyle name="一般 18 2" xfId="712" xr:uid="{00000000-0005-0000-0000-0000C2020000}"/>
    <cellStyle name="一般 18 2 2" xfId="713" xr:uid="{00000000-0005-0000-0000-0000C3020000}"/>
    <cellStyle name="一般 18 2 2 2" xfId="714" xr:uid="{00000000-0005-0000-0000-0000C4020000}"/>
    <cellStyle name="一般 18 2 3" xfId="715" xr:uid="{00000000-0005-0000-0000-0000C5020000}"/>
    <cellStyle name="一般 18 3" xfId="716" xr:uid="{00000000-0005-0000-0000-0000C6020000}"/>
    <cellStyle name="一般 18 3 2" xfId="717" xr:uid="{00000000-0005-0000-0000-0000C7020000}"/>
    <cellStyle name="一般 18 4" xfId="718" xr:uid="{00000000-0005-0000-0000-0000C8020000}"/>
    <cellStyle name="一般 180" xfId="719" xr:uid="{00000000-0005-0000-0000-0000C9020000}"/>
    <cellStyle name="一般 180 2" xfId="720" xr:uid="{00000000-0005-0000-0000-0000CA020000}"/>
    <cellStyle name="一般 180 2 2" xfId="721" xr:uid="{00000000-0005-0000-0000-0000CB020000}"/>
    <cellStyle name="一般 180 2 2 2" xfId="722" xr:uid="{00000000-0005-0000-0000-0000CC020000}"/>
    <cellStyle name="一般 180 2 3" xfId="723" xr:uid="{00000000-0005-0000-0000-0000CD020000}"/>
    <cellStyle name="一般 180 3" xfId="724" xr:uid="{00000000-0005-0000-0000-0000CE020000}"/>
    <cellStyle name="一般 180 3 2" xfId="725" xr:uid="{00000000-0005-0000-0000-0000CF020000}"/>
    <cellStyle name="一般 180 4" xfId="726" xr:uid="{00000000-0005-0000-0000-0000D0020000}"/>
    <cellStyle name="一般 181" xfId="727" xr:uid="{00000000-0005-0000-0000-0000D1020000}"/>
    <cellStyle name="一般 181 2" xfId="728" xr:uid="{00000000-0005-0000-0000-0000D2020000}"/>
    <cellStyle name="一般 181 2 2" xfId="729" xr:uid="{00000000-0005-0000-0000-0000D3020000}"/>
    <cellStyle name="一般 181 2 2 2" xfId="730" xr:uid="{00000000-0005-0000-0000-0000D4020000}"/>
    <cellStyle name="一般 181 2 3" xfId="731" xr:uid="{00000000-0005-0000-0000-0000D5020000}"/>
    <cellStyle name="一般 181 3" xfId="732" xr:uid="{00000000-0005-0000-0000-0000D6020000}"/>
    <cellStyle name="一般 181 3 2" xfId="733" xr:uid="{00000000-0005-0000-0000-0000D7020000}"/>
    <cellStyle name="一般 181 4" xfId="734" xr:uid="{00000000-0005-0000-0000-0000D8020000}"/>
    <cellStyle name="一般 182" xfId="735" xr:uid="{00000000-0005-0000-0000-0000D9020000}"/>
    <cellStyle name="一般 182 2" xfId="736" xr:uid="{00000000-0005-0000-0000-0000DA020000}"/>
    <cellStyle name="一般 182 2 2" xfId="737" xr:uid="{00000000-0005-0000-0000-0000DB020000}"/>
    <cellStyle name="一般 182 2 2 2" xfId="738" xr:uid="{00000000-0005-0000-0000-0000DC020000}"/>
    <cellStyle name="一般 182 2 3" xfId="739" xr:uid="{00000000-0005-0000-0000-0000DD020000}"/>
    <cellStyle name="一般 182 3" xfId="740" xr:uid="{00000000-0005-0000-0000-0000DE020000}"/>
    <cellStyle name="一般 182 3 2" xfId="741" xr:uid="{00000000-0005-0000-0000-0000DF020000}"/>
    <cellStyle name="一般 182 4" xfId="742" xr:uid="{00000000-0005-0000-0000-0000E0020000}"/>
    <cellStyle name="一般 183" xfId="743" xr:uid="{00000000-0005-0000-0000-0000E1020000}"/>
    <cellStyle name="一般 183 2" xfId="744" xr:uid="{00000000-0005-0000-0000-0000E2020000}"/>
    <cellStyle name="一般 183 2 2" xfId="745" xr:uid="{00000000-0005-0000-0000-0000E3020000}"/>
    <cellStyle name="一般 183 2 2 2" xfId="746" xr:uid="{00000000-0005-0000-0000-0000E4020000}"/>
    <cellStyle name="一般 183 2 3" xfId="747" xr:uid="{00000000-0005-0000-0000-0000E5020000}"/>
    <cellStyle name="一般 183 3" xfId="748" xr:uid="{00000000-0005-0000-0000-0000E6020000}"/>
    <cellStyle name="一般 183 3 2" xfId="749" xr:uid="{00000000-0005-0000-0000-0000E7020000}"/>
    <cellStyle name="一般 183 4" xfId="750" xr:uid="{00000000-0005-0000-0000-0000E8020000}"/>
    <cellStyle name="一般 184" xfId="751" xr:uid="{00000000-0005-0000-0000-0000E9020000}"/>
    <cellStyle name="一般 184 2" xfId="752" xr:uid="{00000000-0005-0000-0000-0000EA020000}"/>
    <cellStyle name="一般 184 2 2" xfId="753" xr:uid="{00000000-0005-0000-0000-0000EB020000}"/>
    <cellStyle name="一般 184 2 2 2" xfId="754" xr:uid="{00000000-0005-0000-0000-0000EC020000}"/>
    <cellStyle name="一般 184 2 3" xfId="755" xr:uid="{00000000-0005-0000-0000-0000ED020000}"/>
    <cellStyle name="一般 184 3" xfId="756" xr:uid="{00000000-0005-0000-0000-0000EE020000}"/>
    <cellStyle name="一般 184 3 2" xfId="757" xr:uid="{00000000-0005-0000-0000-0000EF020000}"/>
    <cellStyle name="一般 184 4" xfId="758" xr:uid="{00000000-0005-0000-0000-0000F0020000}"/>
    <cellStyle name="一般 185" xfId="759" xr:uid="{00000000-0005-0000-0000-0000F1020000}"/>
    <cellStyle name="一般 185 2" xfId="760" xr:uid="{00000000-0005-0000-0000-0000F2020000}"/>
    <cellStyle name="一般 185 2 2" xfId="761" xr:uid="{00000000-0005-0000-0000-0000F3020000}"/>
    <cellStyle name="一般 185 2 2 2" xfId="762" xr:uid="{00000000-0005-0000-0000-0000F4020000}"/>
    <cellStyle name="一般 185 2 3" xfId="763" xr:uid="{00000000-0005-0000-0000-0000F5020000}"/>
    <cellStyle name="一般 185 3" xfId="764" xr:uid="{00000000-0005-0000-0000-0000F6020000}"/>
    <cellStyle name="一般 185 3 2" xfId="765" xr:uid="{00000000-0005-0000-0000-0000F7020000}"/>
    <cellStyle name="一般 185 4" xfId="766" xr:uid="{00000000-0005-0000-0000-0000F8020000}"/>
    <cellStyle name="一般 186" xfId="767" xr:uid="{00000000-0005-0000-0000-0000F9020000}"/>
    <cellStyle name="一般 186 2" xfId="768" xr:uid="{00000000-0005-0000-0000-0000FA020000}"/>
    <cellStyle name="一般 186 2 2" xfId="769" xr:uid="{00000000-0005-0000-0000-0000FB020000}"/>
    <cellStyle name="一般 186 2 2 2" xfId="770" xr:uid="{00000000-0005-0000-0000-0000FC020000}"/>
    <cellStyle name="一般 186 2 3" xfId="771" xr:uid="{00000000-0005-0000-0000-0000FD020000}"/>
    <cellStyle name="一般 186 3" xfId="772" xr:uid="{00000000-0005-0000-0000-0000FE020000}"/>
    <cellStyle name="一般 186 3 2" xfId="773" xr:uid="{00000000-0005-0000-0000-0000FF020000}"/>
    <cellStyle name="一般 186 4" xfId="774" xr:uid="{00000000-0005-0000-0000-000000030000}"/>
    <cellStyle name="一般 187" xfId="775" xr:uid="{00000000-0005-0000-0000-000001030000}"/>
    <cellStyle name="一般 187 2" xfId="776" xr:uid="{00000000-0005-0000-0000-000002030000}"/>
    <cellStyle name="一般 187 2 2" xfId="777" xr:uid="{00000000-0005-0000-0000-000003030000}"/>
    <cellStyle name="一般 187 2 2 2" xfId="778" xr:uid="{00000000-0005-0000-0000-000004030000}"/>
    <cellStyle name="一般 187 2 3" xfId="779" xr:uid="{00000000-0005-0000-0000-000005030000}"/>
    <cellStyle name="一般 187 3" xfId="780" xr:uid="{00000000-0005-0000-0000-000006030000}"/>
    <cellStyle name="一般 187 3 2" xfId="781" xr:uid="{00000000-0005-0000-0000-000007030000}"/>
    <cellStyle name="一般 187 4" xfId="782" xr:uid="{00000000-0005-0000-0000-000008030000}"/>
    <cellStyle name="一般 188" xfId="783" xr:uid="{00000000-0005-0000-0000-000009030000}"/>
    <cellStyle name="一般 188 2" xfId="784" xr:uid="{00000000-0005-0000-0000-00000A030000}"/>
    <cellStyle name="一般 188 2 2" xfId="785" xr:uid="{00000000-0005-0000-0000-00000B030000}"/>
    <cellStyle name="一般 188 2 2 2" xfId="786" xr:uid="{00000000-0005-0000-0000-00000C030000}"/>
    <cellStyle name="一般 188 2 3" xfId="787" xr:uid="{00000000-0005-0000-0000-00000D030000}"/>
    <cellStyle name="一般 188 3" xfId="788" xr:uid="{00000000-0005-0000-0000-00000E030000}"/>
    <cellStyle name="一般 188 3 2" xfId="789" xr:uid="{00000000-0005-0000-0000-00000F030000}"/>
    <cellStyle name="一般 188 4" xfId="790" xr:uid="{00000000-0005-0000-0000-000010030000}"/>
    <cellStyle name="一般 189" xfId="791" xr:uid="{00000000-0005-0000-0000-000011030000}"/>
    <cellStyle name="一般 189 2" xfId="792" xr:uid="{00000000-0005-0000-0000-000012030000}"/>
    <cellStyle name="一般 189 2 2" xfId="793" xr:uid="{00000000-0005-0000-0000-000013030000}"/>
    <cellStyle name="一般 189 2 2 2" xfId="794" xr:uid="{00000000-0005-0000-0000-000014030000}"/>
    <cellStyle name="一般 189 2 3" xfId="795" xr:uid="{00000000-0005-0000-0000-000015030000}"/>
    <cellStyle name="一般 189 3" xfId="796" xr:uid="{00000000-0005-0000-0000-000016030000}"/>
    <cellStyle name="一般 189 3 2" xfId="797" xr:uid="{00000000-0005-0000-0000-000017030000}"/>
    <cellStyle name="一般 189 4" xfId="798" xr:uid="{00000000-0005-0000-0000-000018030000}"/>
    <cellStyle name="一般 19" xfId="799" xr:uid="{00000000-0005-0000-0000-000019030000}"/>
    <cellStyle name="一般 19 2" xfId="800" xr:uid="{00000000-0005-0000-0000-00001A030000}"/>
    <cellStyle name="一般 19 2 2" xfId="801" xr:uid="{00000000-0005-0000-0000-00001B030000}"/>
    <cellStyle name="一般 19 2 2 2" xfId="802" xr:uid="{00000000-0005-0000-0000-00001C030000}"/>
    <cellStyle name="一般 19 2 3" xfId="803" xr:uid="{00000000-0005-0000-0000-00001D030000}"/>
    <cellStyle name="一般 19 3" xfId="804" xr:uid="{00000000-0005-0000-0000-00001E030000}"/>
    <cellStyle name="一般 19 3 2" xfId="805" xr:uid="{00000000-0005-0000-0000-00001F030000}"/>
    <cellStyle name="一般 19 4" xfId="806" xr:uid="{00000000-0005-0000-0000-000020030000}"/>
    <cellStyle name="一般 190" xfId="807" xr:uid="{00000000-0005-0000-0000-000021030000}"/>
    <cellStyle name="一般 190 2" xfId="808" xr:uid="{00000000-0005-0000-0000-000022030000}"/>
    <cellStyle name="一般 190 2 2" xfId="809" xr:uid="{00000000-0005-0000-0000-000023030000}"/>
    <cellStyle name="一般 190 2 2 2" xfId="810" xr:uid="{00000000-0005-0000-0000-000024030000}"/>
    <cellStyle name="一般 190 2 3" xfId="811" xr:uid="{00000000-0005-0000-0000-000025030000}"/>
    <cellStyle name="一般 190 3" xfId="812" xr:uid="{00000000-0005-0000-0000-000026030000}"/>
    <cellStyle name="一般 190 3 2" xfId="813" xr:uid="{00000000-0005-0000-0000-000027030000}"/>
    <cellStyle name="一般 190 4" xfId="814" xr:uid="{00000000-0005-0000-0000-000028030000}"/>
    <cellStyle name="一般 191" xfId="815" xr:uid="{00000000-0005-0000-0000-000029030000}"/>
    <cellStyle name="一般 191 2" xfId="816" xr:uid="{00000000-0005-0000-0000-00002A030000}"/>
    <cellStyle name="一般 191 2 2" xfId="817" xr:uid="{00000000-0005-0000-0000-00002B030000}"/>
    <cellStyle name="一般 191 2 2 2" xfId="818" xr:uid="{00000000-0005-0000-0000-00002C030000}"/>
    <cellStyle name="一般 191 2 3" xfId="819" xr:uid="{00000000-0005-0000-0000-00002D030000}"/>
    <cellStyle name="一般 191 3" xfId="820" xr:uid="{00000000-0005-0000-0000-00002E030000}"/>
    <cellStyle name="一般 191 3 2" xfId="821" xr:uid="{00000000-0005-0000-0000-00002F030000}"/>
    <cellStyle name="一般 191 4" xfId="822" xr:uid="{00000000-0005-0000-0000-000030030000}"/>
    <cellStyle name="一般 192" xfId="823" xr:uid="{00000000-0005-0000-0000-000031030000}"/>
    <cellStyle name="一般 192 2" xfId="824" xr:uid="{00000000-0005-0000-0000-000032030000}"/>
    <cellStyle name="一般 192 2 2" xfId="825" xr:uid="{00000000-0005-0000-0000-000033030000}"/>
    <cellStyle name="一般 192 2 2 2" xfId="826" xr:uid="{00000000-0005-0000-0000-000034030000}"/>
    <cellStyle name="一般 192 2 3" xfId="827" xr:uid="{00000000-0005-0000-0000-000035030000}"/>
    <cellStyle name="一般 192 3" xfId="828" xr:uid="{00000000-0005-0000-0000-000036030000}"/>
    <cellStyle name="一般 192 3 2" xfId="829" xr:uid="{00000000-0005-0000-0000-000037030000}"/>
    <cellStyle name="一般 192 4" xfId="830" xr:uid="{00000000-0005-0000-0000-000038030000}"/>
    <cellStyle name="一般 193" xfId="831" xr:uid="{00000000-0005-0000-0000-000039030000}"/>
    <cellStyle name="一般 193 2" xfId="832" xr:uid="{00000000-0005-0000-0000-00003A030000}"/>
    <cellStyle name="一般 193 2 2" xfId="833" xr:uid="{00000000-0005-0000-0000-00003B030000}"/>
    <cellStyle name="一般 193 2 2 2" xfId="834" xr:uid="{00000000-0005-0000-0000-00003C030000}"/>
    <cellStyle name="一般 193 2 3" xfId="835" xr:uid="{00000000-0005-0000-0000-00003D030000}"/>
    <cellStyle name="一般 193 3" xfId="836" xr:uid="{00000000-0005-0000-0000-00003E030000}"/>
    <cellStyle name="一般 193 3 2" xfId="837" xr:uid="{00000000-0005-0000-0000-00003F030000}"/>
    <cellStyle name="一般 193 4" xfId="838" xr:uid="{00000000-0005-0000-0000-000040030000}"/>
    <cellStyle name="一般 194" xfId="839" xr:uid="{00000000-0005-0000-0000-000041030000}"/>
    <cellStyle name="一般 194 2" xfId="840" xr:uid="{00000000-0005-0000-0000-000042030000}"/>
    <cellStyle name="一般 194 2 2" xfId="841" xr:uid="{00000000-0005-0000-0000-000043030000}"/>
    <cellStyle name="一般 194 2 2 2" xfId="842" xr:uid="{00000000-0005-0000-0000-000044030000}"/>
    <cellStyle name="一般 194 2 3" xfId="843" xr:uid="{00000000-0005-0000-0000-000045030000}"/>
    <cellStyle name="一般 194 3" xfId="844" xr:uid="{00000000-0005-0000-0000-000046030000}"/>
    <cellStyle name="一般 194 3 2" xfId="845" xr:uid="{00000000-0005-0000-0000-000047030000}"/>
    <cellStyle name="一般 194 4" xfId="846" xr:uid="{00000000-0005-0000-0000-000048030000}"/>
    <cellStyle name="一般 195" xfId="847" xr:uid="{00000000-0005-0000-0000-000049030000}"/>
    <cellStyle name="一般 195 2" xfId="848" xr:uid="{00000000-0005-0000-0000-00004A030000}"/>
    <cellStyle name="一般 195 2 2" xfId="849" xr:uid="{00000000-0005-0000-0000-00004B030000}"/>
    <cellStyle name="一般 195 2 2 2" xfId="850" xr:uid="{00000000-0005-0000-0000-00004C030000}"/>
    <cellStyle name="一般 195 2 3" xfId="851" xr:uid="{00000000-0005-0000-0000-00004D030000}"/>
    <cellStyle name="一般 195 3" xfId="852" xr:uid="{00000000-0005-0000-0000-00004E030000}"/>
    <cellStyle name="一般 195 3 2" xfId="853" xr:uid="{00000000-0005-0000-0000-00004F030000}"/>
    <cellStyle name="一般 195 4" xfId="854" xr:uid="{00000000-0005-0000-0000-000050030000}"/>
    <cellStyle name="一般 196" xfId="855" xr:uid="{00000000-0005-0000-0000-000051030000}"/>
    <cellStyle name="一般 196 2" xfId="856" xr:uid="{00000000-0005-0000-0000-000052030000}"/>
    <cellStyle name="一般 196 2 2" xfId="857" xr:uid="{00000000-0005-0000-0000-000053030000}"/>
    <cellStyle name="一般 196 2 2 2" xfId="858" xr:uid="{00000000-0005-0000-0000-000054030000}"/>
    <cellStyle name="一般 196 2 3" xfId="859" xr:uid="{00000000-0005-0000-0000-000055030000}"/>
    <cellStyle name="一般 196 3" xfId="860" xr:uid="{00000000-0005-0000-0000-000056030000}"/>
    <cellStyle name="一般 196 3 2" xfId="861" xr:uid="{00000000-0005-0000-0000-000057030000}"/>
    <cellStyle name="一般 196 4" xfId="862" xr:uid="{00000000-0005-0000-0000-000058030000}"/>
    <cellStyle name="一般 197" xfId="863" xr:uid="{00000000-0005-0000-0000-000059030000}"/>
    <cellStyle name="一般 197 2" xfId="864" xr:uid="{00000000-0005-0000-0000-00005A030000}"/>
    <cellStyle name="一般 197 2 2" xfId="865" xr:uid="{00000000-0005-0000-0000-00005B030000}"/>
    <cellStyle name="一般 197 2 2 2" xfId="866" xr:uid="{00000000-0005-0000-0000-00005C030000}"/>
    <cellStyle name="一般 197 2 3" xfId="867" xr:uid="{00000000-0005-0000-0000-00005D030000}"/>
    <cellStyle name="一般 197 3" xfId="868" xr:uid="{00000000-0005-0000-0000-00005E030000}"/>
    <cellStyle name="一般 197 3 2" xfId="869" xr:uid="{00000000-0005-0000-0000-00005F030000}"/>
    <cellStyle name="一般 197 4" xfId="870" xr:uid="{00000000-0005-0000-0000-000060030000}"/>
    <cellStyle name="一般 198" xfId="871" xr:uid="{00000000-0005-0000-0000-000061030000}"/>
    <cellStyle name="一般 198 2" xfId="872" xr:uid="{00000000-0005-0000-0000-000062030000}"/>
    <cellStyle name="一般 198 2 2" xfId="873" xr:uid="{00000000-0005-0000-0000-000063030000}"/>
    <cellStyle name="一般 198 2 2 2" xfId="874" xr:uid="{00000000-0005-0000-0000-000064030000}"/>
    <cellStyle name="一般 198 2 3" xfId="875" xr:uid="{00000000-0005-0000-0000-000065030000}"/>
    <cellStyle name="一般 198 3" xfId="876" xr:uid="{00000000-0005-0000-0000-000066030000}"/>
    <cellStyle name="一般 198 3 2" xfId="877" xr:uid="{00000000-0005-0000-0000-000067030000}"/>
    <cellStyle name="一般 198 4" xfId="878" xr:uid="{00000000-0005-0000-0000-000068030000}"/>
    <cellStyle name="一般 199" xfId="879" xr:uid="{00000000-0005-0000-0000-000069030000}"/>
    <cellStyle name="一般 199 2" xfId="880" xr:uid="{00000000-0005-0000-0000-00006A030000}"/>
    <cellStyle name="一般 199 2 2" xfId="881" xr:uid="{00000000-0005-0000-0000-00006B030000}"/>
    <cellStyle name="一般 199 2 2 2" xfId="882" xr:uid="{00000000-0005-0000-0000-00006C030000}"/>
    <cellStyle name="一般 199 2 3" xfId="883" xr:uid="{00000000-0005-0000-0000-00006D030000}"/>
    <cellStyle name="一般 199 3" xfId="884" xr:uid="{00000000-0005-0000-0000-00006E030000}"/>
    <cellStyle name="一般 199 3 2" xfId="885" xr:uid="{00000000-0005-0000-0000-00006F030000}"/>
    <cellStyle name="一般 199 4" xfId="886" xr:uid="{00000000-0005-0000-0000-000070030000}"/>
    <cellStyle name="一般 2" xfId="3" xr:uid="{00000000-0005-0000-0000-000071030000}"/>
    <cellStyle name="一般 2 2" xfId="887" xr:uid="{00000000-0005-0000-0000-000072030000}"/>
    <cellStyle name="一般 2 2 2" xfId="888" xr:uid="{00000000-0005-0000-0000-000073030000}"/>
    <cellStyle name="一般 2 2 2 2" xfId="889" xr:uid="{00000000-0005-0000-0000-000074030000}"/>
    <cellStyle name="一般 2 2 3" xfId="890" xr:uid="{00000000-0005-0000-0000-000075030000}"/>
    <cellStyle name="一般 2 3" xfId="891" xr:uid="{00000000-0005-0000-0000-000076030000}"/>
    <cellStyle name="一般 2 3 2" xfId="892" xr:uid="{00000000-0005-0000-0000-000077030000}"/>
    <cellStyle name="一般 2 4" xfId="893" xr:uid="{00000000-0005-0000-0000-000078030000}"/>
    <cellStyle name="一般 20" xfId="894" xr:uid="{00000000-0005-0000-0000-000079030000}"/>
    <cellStyle name="一般 20 2" xfId="895" xr:uid="{00000000-0005-0000-0000-00007A030000}"/>
    <cellStyle name="一般 20 2 2" xfId="896" xr:uid="{00000000-0005-0000-0000-00007B030000}"/>
    <cellStyle name="一般 20 2 2 2" xfId="897" xr:uid="{00000000-0005-0000-0000-00007C030000}"/>
    <cellStyle name="一般 20 2 3" xfId="898" xr:uid="{00000000-0005-0000-0000-00007D030000}"/>
    <cellStyle name="一般 20 3" xfId="899" xr:uid="{00000000-0005-0000-0000-00007E030000}"/>
    <cellStyle name="一般 20 3 2" xfId="900" xr:uid="{00000000-0005-0000-0000-00007F030000}"/>
    <cellStyle name="一般 20 4" xfId="901" xr:uid="{00000000-0005-0000-0000-000080030000}"/>
    <cellStyle name="一般 200" xfId="902" xr:uid="{00000000-0005-0000-0000-000081030000}"/>
    <cellStyle name="一般 200 2" xfId="903" xr:uid="{00000000-0005-0000-0000-000082030000}"/>
    <cellStyle name="一般 200 2 2" xfId="904" xr:uid="{00000000-0005-0000-0000-000083030000}"/>
    <cellStyle name="一般 200 2 2 2" xfId="905" xr:uid="{00000000-0005-0000-0000-000084030000}"/>
    <cellStyle name="一般 200 2 3" xfId="906" xr:uid="{00000000-0005-0000-0000-000085030000}"/>
    <cellStyle name="一般 200 3" xfId="907" xr:uid="{00000000-0005-0000-0000-000086030000}"/>
    <cellStyle name="一般 200 3 2" xfId="908" xr:uid="{00000000-0005-0000-0000-000087030000}"/>
    <cellStyle name="一般 200 4" xfId="909" xr:uid="{00000000-0005-0000-0000-000088030000}"/>
    <cellStyle name="一般 201" xfId="910" xr:uid="{00000000-0005-0000-0000-000089030000}"/>
    <cellStyle name="一般 201 2" xfId="911" xr:uid="{00000000-0005-0000-0000-00008A030000}"/>
    <cellStyle name="一般 201 2 2" xfId="912" xr:uid="{00000000-0005-0000-0000-00008B030000}"/>
    <cellStyle name="一般 201 2 2 2" xfId="913" xr:uid="{00000000-0005-0000-0000-00008C030000}"/>
    <cellStyle name="一般 201 2 3" xfId="914" xr:uid="{00000000-0005-0000-0000-00008D030000}"/>
    <cellStyle name="一般 201 3" xfId="915" xr:uid="{00000000-0005-0000-0000-00008E030000}"/>
    <cellStyle name="一般 201 3 2" xfId="916" xr:uid="{00000000-0005-0000-0000-00008F030000}"/>
    <cellStyle name="一般 201 4" xfId="917" xr:uid="{00000000-0005-0000-0000-000090030000}"/>
    <cellStyle name="一般 202" xfId="918" xr:uid="{00000000-0005-0000-0000-000091030000}"/>
    <cellStyle name="一般 202 2" xfId="919" xr:uid="{00000000-0005-0000-0000-000092030000}"/>
    <cellStyle name="一般 202 2 2" xfId="920" xr:uid="{00000000-0005-0000-0000-000093030000}"/>
    <cellStyle name="一般 202 2 2 2" xfId="921" xr:uid="{00000000-0005-0000-0000-000094030000}"/>
    <cellStyle name="一般 202 2 3" xfId="922" xr:uid="{00000000-0005-0000-0000-000095030000}"/>
    <cellStyle name="一般 202 3" xfId="923" xr:uid="{00000000-0005-0000-0000-000096030000}"/>
    <cellStyle name="一般 202 3 2" xfId="924" xr:uid="{00000000-0005-0000-0000-000097030000}"/>
    <cellStyle name="一般 202 4" xfId="925" xr:uid="{00000000-0005-0000-0000-000098030000}"/>
    <cellStyle name="一般 203" xfId="926" xr:uid="{00000000-0005-0000-0000-000099030000}"/>
    <cellStyle name="一般 203 2" xfId="927" xr:uid="{00000000-0005-0000-0000-00009A030000}"/>
    <cellStyle name="一般 203 2 2" xfId="928" xr:uid="{00000000-0005-0000-0000-00009B030000}"/>
    <cellStyle name="一般 203 2 2 2" xfId="929" xr:uid="{00000000-0005-0000-0000-00009C030000}"/>
    <cellStyle name="一般 203 2 3" xfId="930" xr:uid="{00000000-0005-0000-0000-00009D030000}"/>
    <cellStyle name="一般 203 3" xfId="931" xr:uid="{00000000-0005-0000-0000-00009E030000}"/>
    <cellStyle name="一般 203 3 2" xfId="932" xr:uid="{00000000-0005-0000-0000-00009F030000}"/>
    <cellStyle name="一般 203 4" xfId="933" xr:uid="{00000000-0005-0000-0000-0000A0030000}"/>
    <cellStyle name="一般 204" xfId="934" xr:uid="{00000000-0005-0000-0000-0000A1030000}"/>
    <cellStyle name="一般 204 2" xfId="935" xr:uid="{00000000-0005-0000-0000-0000A2030000}"/>
    <cellStyle name="一般 204 2 2" xfId="936" xr:uid="{00000000-0005-0000-0000-0000A3030000}"/>
    <cellStyle name="一般 204 2 2 2" xfId="937" xr:uid="{00000000-0005-0000-0000-0000A4030000}"/>
    <cellStyle name="一般 204 2 3" xfId="938" xr:uid="{00000000-0005-0000-0000-0000A5030000}"/>
    <cellStyle name="一般 204 3" xfId="939" xr:uid="{00000000-0005-0000-0000-0000A6030000}"/>
    <cellStyle name="一般 204 3 2" xfId="940" xr:uid="{00000000-0005-0000-0000-0000A7030000}"/>
    <cellStyle name="一般 204 4" xfId="941" xr:uid="{00000000-0005-0000-0000-0000A8030000}"/>
    <cellStyle name="一般 205" xfId="942" xr:uid="{00000000-0005-0000-0000-0000A9030000}"/>
    <cellStyle name="一般 205 2" xfId="943" xr:uid="{00000000-0005-0000-0000-0000AA030000}"/>
    <cellStyle name="一般 205 2 2" xfId="944" xr:uid="{00000000-0005-0000-0000-0000AB030000}"/>
    <cellStyle name="一般 205 2 2 2" xfId="945" xr:uid="{00000000-0005-0000-0000-0000AC030000}"/>
    <cellStyle name="一般 205 2 3" xfId="946" xr:uid="{00000000-0005-0000-0000-0000AD030000}"/>
    <cellStyle name="一般 205 3" xfId="947" xr:uid="{00000000-0005-0000-0000-0000AE030000}"/>
    <cellStyle name="一般 205 3 2" xfId="948" xr:uid="{00000000-0005-0000-0000-0000AF030000}"/>
    <cellStyle name="一般 205 4" xfId="949" xr:uid="{00000000-0005-0000-0000-0000B0030000}"/>
    <cellStyle name="一般 206" xfId="950" xr:uid="{00000000-0005-0000-0000-0000B1030000}"/>
    <cellStyle name="一般 206 2" xfId="951" xr:uid="{00000000-0005-0000-0000-0000B2030000}"/>
    <cellStyle name="一般 206 2 2" xfId="952" xr:uid="{00000000-0005-0000-0000-0000B3030000}"/>
    <cellStyle name="一般 206 2 2 2" xfId="953" xr:uid="{00000000-0005-0000-0000-0000B4030000}"/>
    <cellStyle name="一般 206 2 3" xfId="954" xr:uid="{00000000-0005-0000-0000-0000B5030000}"/>
    <cellStyle name="一般 206 3" xfId="955" xr:uid="{00000000-0005-0000-0000-0000B6030000}"/>
    <cellStyle name="一般 206 3 2" xfId="956" xr:uid="{00000000-0005-0000-0000-0000B7030000}"/>
    <cellStyle name="一般 206 4" xfId="957" xr:uid="{00000000-0005-0000-0000-0000B8030000}"/>
    <cellStyle name="一般 207" xfId="958" xr:uid="{00000000-0005-0000-0000-0000B9030000}"/>
    <cellStyle name="一般 207 2" xfId="959" xr:uid="{00000000-0005-0000-0000-0000BA030000}"/>
    <cellStyle name="一般 207 2 2" xfId="960" xr:uid="{00000000-0005-0000-0000-0000BB030000}"/>
    <cellStyle name="一般 207 2 2 2" xfId="961" xr:uid="{00000000-0005-0000-0000-0000BC030000}"/>
    <cellStyle name="一般 207 2 3" xfId="962" xr:uid="{00000000-0005-0000-0000-0000BD030000}"/>
    <cellStyle name="一般 207 3" xfId="963" xr:uid="{00000000-0005-0000-0000-0000BE030000}"/>
    <cellStyle name="一般 207 3 2" xfId="964" xr:uid="{00000000-0005-0000-0000-0000BF030000}"/>
    <cellStyle name="一般 207 4" xfId="965" xr:uid="{00000000-0005-0000-0000-0000C0030000}"/>
    <cellStyle name="一般 208" xfId="966" xr:uid="{00000000-0005-0000-0000-0000C1030000}"/>
    <cellStyle name="一般 208 2" xfId="967" xr:uid="{00000000-0005-0000-0000-0000C2030000}"/>
    <cellStyle name="一般 208 2 2" xfId="968" xr:uid="{00000000-0005-0000-0000-0000C3030000}"/>
    <cellStyle name="一般 208 2 2 2" xfId="969" xr:uid="{00000000-0005-0000-0000-0000C4030000}"/>
    <cellStyle name="一般 208 2 3" xfId="970" xr:uid="{00000000-0005-0000-0000-0000C5030000}"/>
    <cellStyle name="一般 208 3" xfId="971" xr:uid="{00000000-0005-0000-0000-0000C6030000}"/>
    <cellStyle name="一般 208 3 2" xfId="972" xr:uid="{00000000-0005-0000-0000-0000C7030000}"/>
    <cellStyle name="一般 208 4" xfId="973" xr:uid="{00000000-0005-0000-0000-0000C8030000}"/>
    <cellStyle name="一般 209" xfId="974" xr:uid="{00000000-0005-0000-0000-0000C9030000}"/>
    <cellStyle name="一般 209 2" xfId="975" xr:uid="{00000000-0005-0000-0000-0000CA030000}"/>
    <cellStyle name="一般 209 2 2" xfId="976" xr:uid="{00000000-0005-0000-0000-0000CB030000}"/>
    <cellStyle name="一般 209 2 2 2" xfId="977" xr:uid="{00000000-0005-0000-0000-0000CC030000}"/>
    <cellStyle name="一般 209 2 3" xfId="978" xr:uid="{00000000-0005-0000-0000-0000CD030000}"/>
    <cellStyle name="一般 209 3" xfId="979" xr:uid="{00000000-0005-0000-0000-0000CE030000}"/>
    <cellStyle name="一般 209 3 2" xfId="980" xr:uid="{00000000-0005-0000-0000-0000CF030000}"/>
    <cellStyle name="一般 209 4" xfId="981" xr:uid="{00000000-0005-0000-0000-0000D0030000}"/>
    <cellStyle name="一般 21" xfId="982" xr:uid="{00000000-0005-0000-0000-0000D1030000}"/>
    <cellStyle name="一般 21 2" xfId="983" xr:uid="{00000000-0005-0000-0000-0000D2030000}"/>
    <cellStyle name="一般 21 2 2" xfId="984" xr:uid="{00000000-0005-0000-0000-0000D3030000}"/>
    <cellStyle name="一般 21 2 2 2" xfId="985" xr:uid="{00000000-0005-0000-0000-0000D4030000}"/>
    <cellStyle name="一般 21 2 3" xfId="986" xr:uid="{00000000-0005-0000-0000-0000D5030000}"/>
    <cellStyle name="一般 21 3" xfId="987" xr:uid="{00000000-0005-0000-0000-0000D6030000}"/>
    <cellStyle name="一般 21 3 2" xfId="988" xr:uid="{00000000-0005-0000-0000-0000D7030000}"/>
    <cellStyle name="一般 21 4" xfId="989" xr:uid="{00000000-0005-0000-0000-0000D8030000}"/>
    <cellStyle name="一般 210" xfId="990" xr:uid="{00000000-0005-0000-0000-0000D9030000}"/>
    <cellStyle name="一般 210 2" xfId="991" xr:uid="{00000000-0005-0000-0000-0000DA030000}"/>
    <cellStyle name="一般 210 2 2" xfId="992" xr:uid="{00000000-0005-0000-0000-0000DB030000}"/>
    <cellStyle name="一般 210 2 2 2" xfId="993" xr:uid="{00000000-0005-0000-0000-0000DC030000}"/>
    <cellStyle name="一般 210 2 3" xfId="994" xr:uid="{00000000-0005-0000-0000-0000DD030000}"/>
    <cellStyle name="一般 210 3" xfId="995" xr:uid="{00000000-0005-0000-0000-0000DE030000}"/>
    <cellStyle name="一般 210 3 2" xfId="996" xr:uid="{00000000-0005-0000-0000-0000DF030000}"/>
    <cellStyle name="一般 210 4" xfId="997" xr:uid="{00000000-0005-0000-0000-0000E0030000}"/>
    <cellStyle name="一般 211" xfId="998" xr:uid="{00000000-0005-0000-0000-0000E1030000}"/>
    <cellStyle name="一般 211 2" xfId="999" xr:uid="{00000000-0005-0000-0000-0000E2030000}"/>
    <cellStyle name="一般 211 2 2" xfId="1000" xr:uid="{00000000-0005-0000-0000-0000E3030000}"/>
    <cellStyle name="一般 211 2 2 2" xfId="1001" xr:uid="{00000000-0005-0000-0000-0000E4030000}"/>
    <cellStyle name="一般 211 2 3" xfId="1002" xr:uid="{00000000-0005-0000-0000-0000E5030000}"/>
    <cellStyle name="一般 211 3" xfId="1003" xr:uid="{00000000-0005-0000-0000-0000E6030000}"/>
    <cellStyle name="一般 211 3 2" xfId="1004" xr:uid="{00000000-0005-0000-0000-0000E7030000}"/>
    <cellStyle name="一般 211 4" xfId="1005" xr:uid="{00000000-0005-0000-0000-0000E8030000}"/>
    <cellStyle name="一般 212" xfId="1006" xr:uid="{00000000-0005-0000-0000-0000E9030000}"/>
    <cellStyle name="一般 212 2" xfId="1007" xr:uid="{00000000-0005-0000-0000-0000EA030000}"/>
    <cellStyle name="一般 212 2 2" xfId="1008" xr:uid="{00000000-0005-0000-0000-0000EB030000}"/>
    <cellStyle name="一般 212 2 2 2" xfId="1009" xr:uid="{00000000-0005-0000-0000-0000EC030000}"/>
    <cellStyle name="一般 212 2 3" xfId="1010" xr:uid="{00000000-0005-0000-0000-0000ED030000}"/>
    <cellStyle name="一般 212 3" xfId="1011" xr:uid="{00000000-0005-0000-0000-0000EE030000}"/>
    <cellStyle name="一般 212 3 2" xfId="1012" xr:uid="{00000000-0005-0000-0000-0000EF030000}"/>
    <cellStyle name="一般 212 4" xfId="1013" xr:uid="{00000000-0005-0000-0000-0000F0030000}"/>
    <cellStyle name="一般 213" xfId="1014" xr:uid="{00000000-0005-0000-0000-0000F1030000}"/>
    <cellStyle name="一般 213 2" xfId="1015" xr:uid="{00000000-0005-0000-0000-0000F2030000}"/>
    <cellStyle name="一般 213 2 2" xfId="1016" xr:uid="{00000000-0005-0000-0000-0000F3030000}"/>
    <cellStyle name="一般 213 2 2 2" xfId="1017" xr:uid="{00000000-0005-0000-0000-0000F4030000}"/>
    <cellStyle name="一般 213 2 3" xfId="1018" xr:uid="{00000000-0005-0000-0000-0000F5030000}"/>
    <cellStyle name="一般 213 3" xfId="1019" xr:uid="{00000000-0005-0000-0000-0000F6030000}"/>
    <cellStyle name="一般 213 3 2" xfId="1020" xr:uid="{00000000-0005-0000-0000-0000F7030000}"/>
    <cellStyle name="一般 213 4" xfId="1021" xr:uid="{00000000-0005-0000-0000-0000F8030000}"/>
    <cellStyle name="一般 214" xfId="1022" xr:uid="{00000000-0005-0000-0000-0000F9030000}"/>
    <cellStyle name="一般 214 2" xfId="1023" xr:uid="{00000000-0005-0000-0000-0000FA030000}"/>
    <cellStyle name="一般 214 2 2" xfId="1024" xr:uid="{00000000-0005-0000-0000-0000FB030000}"/>
    <cellStyle name="一般 214 2 2 2" xfId="1025" xr:uid="{00000000-0005-0000-0000-0000FC030000}"/>
    <cellStyle name="一般 214 2 3" xfId="1026" xr:uid="{00000000-0005-0000-0000-0000FD030000}"/>
    <cellStyle name="一般 214 3" xfId="1027" xr:uid="{00000000-0005-0000-0000-0000FE030000}"/>
    <cellStyle name="一般 214 3 2" xfId="1028" xr:uid="{00000000-0005-0000-0000-0000FF030000}"/>
    <cellStyle name="一般 214 4" xfId="1029" xr:uid="{00000000-0005-0000-0000-000000040000}"/>
    <cellStyle name="一般 215" xfId="1030" xr:uid="{00000000-0005-0000-0000-000001040000}"/>
    <cellStyle name="一般 215 2" xfId="1031" xr:uid="{00000000-0005-0000-0000-000002040000}"/>
    <cellStyle name="一般 215 2 2" xfId="1032" xr:uid="{00000000-0005-0000-0000-000003040000}"/>
    <cellStyle name="一般 215 2 2 2" xfId="1033" xr:uid="{00000000-0005-0000-0000-000004040000}"/>
    <cellStyle name="一般 215 2 3" xfId="1034" xr:uid="{00000000-0005-0000-0000-000005040000}"/>
    <cellStyle name="一般 215 3" xfId="1035" xr:uid="{00000000-0005-0000-0000-000006040000}"/>
    <cellStyle name="一般 215 3 2" xfId="1036" xr:uid="{00000000-0005-0000-0000-000007040000}"/>
    <cellStyle name="一般 215 4" xfId="1037" xr:uid="{00000000-0005-0000-0000-000008040000}"/>
    <cellStyle name="一般 216" xfId="1038" xr:uid="{00000000-0005-0000-0000-000009040000}"/>
    <cellStyle name="一般 216 2" xfId="1039" xr:uid="{00000000-0005-0000-0000-00000A040000}"/>
    <cellStyle name="一般 216 2 2" xfId="1040" xr:uid="{00000000-0005-0000-0000-00000B040000}"/>
    <cellStyle name="一般 216 2 2 2" xfId="1041" xr:uid="{00000000-0005-0000-0000-00000C040000}"/>
    <cellStyle name="一般 216 2 3" xfId="1042" xr:uid="{00000000-0005-0000-0000-00000D040000}"/>
    <cellStyle name="一般 216 3" xfId="1043" xr:uid="{00000000-0005-0000-0000-00000E040000}"/>
    <cellStyle name="一般 216 3 2" xfId="1044" xr:uid="{00000000-0005-0000-0000-00000F040000}"/>
    <cellStyle name="一般 216 4" xfId="1045" xr:uid="{00000000-0005-0000-0000-000010040000}"/>
    <cellStyle name="一般 217" xfId="1046" xr:uid="{00000000-0005-0000-0000-000011040000}"/>
    <cellStyle name="一般 217 2" xfId="1047" xr:uid="{00000000-0005-0000-0000-000012040000}"/>
    <cellStyle name="一般 217 2 2" xfId="1048" xr:uid="{00000000-0005-0000-0000-000013040000}"/>
    <cellStyle name="一般 217 2 2 2" xfId="1049" xr:uid="{00000000-0005-0000-0000-000014040000}"/>
    <cellStyle name="一般 217 2 3" xfId="1050" xr:uid="{00000000-0005-0000-0000-000015040000}"/>
    <cellStyle name="一般 217 3" xfId="1051" xr:uid="{00000000-0005-0000-0000-000016040000}"/>
    <cellStyle name="一般 217 3 2" xfId="1052" xr:uid="{00000000-0005-0000-0000-000017040000}"/>
    <cellStyle name="一般 217 4" xfId="1053" xr:uid="{00000000-0005-0000-0000-000018040000}"/>
    <cellStyle name="一般 218" xfId="1054" xr:uid="{00000000-0005-0000-0000-000019040000}"/>
    <cellStyle name="一般 218 2" xfId="1055" xr:uid="{00000000-0005-0000-0000-00001A040000}"/>
    <cellStyle name="一般 218 2 2" xfId="1056" xr:uid="{00000000-0005-0000-0000-00001B040000}"/>
    <cellStyle name="一般 218 2 2 2" xfId="1057" xr:uid="{00000000-0005-0000-0000-00001C040000}"/>
    <cellStyle name="一般 218 2 3" xfId="1058" xr:uid="{00000000-0005-0000-0000-00001D040000}"/>
    <cellStyle name="一般 218 3" xfId="1059" xr:uid="{00000000-0005-0000-0000-00001E040000}"/>
    <cellStyle name="一般 218 3 2" xfId="1060" xr:uid="{00000000-0005-0000-0000-00001F040000}"/>
    <cellStyle name="一般 218 4" xfId="1061" xr:uid="{00000000-0005-0000-0000-000020040000}"/>
    <cellStyle name="一般 219" xfId="1062" xr:uid="{00000000-0005-0000-0000-000021040000}"/>
    <cellStyle name="一般 219 2" xfId="1063" xr:uid="{00000000-0005-0000-0000-000022040000}"/>
    <cellStyle name="一般 219 2 2" xfId="1064" xr:uid="{00000000-0005-0000-0000-000023040000}"/>
    <cellStyle name="一般 219 2 2 2" xfId="1065" xr:uid="{00000000-0005-0000-0000-000024040000}"/>
    <cellStyle name="一般 219 2 3" xfId="1066" xr:uid="{00000000-0005-0000-0000-000025040000}"/>
    <cellStyle name="一般 219 3" xfId="1067" xr:uid="{00000000-0005-0000-0000-000026040000}"/>
    <cellStyle name="一般 219 3 2" xfId="1068" xr:uid="{00000000-0005-0000-0000-000027040000}"/>
    <cellStyle name="一般 219 4" xfId="1069" xr:uid="{00000000-0005-0000-0000-000028040000}"/>
    <cellStyle name="一般 22" xfId="1070" xr:uid="{00000000-0005-0000-0000-000029040000}"/>
    <cellStyle name="一般 22 2" xfId="1071" xr:uid="{00000000-0005-0000-0000-00002A040000}"/>
    <cellStyle name="一般 22 2 2" xfId="1072" xr:uid="{00000000-0005-0000-0000-00002B040000}"/>
    <cellStyle name="一般 22 2 2 2" xfId="1073" xr:uid="{00000000-0005-0000-0000-00002C040000}"/>
    <cellStyle name="一般 22 2 3" xfId="1074" xr:uid="{00000000-0005-0000-0000-00002D040000}"/>
    <cellStyle name="一般 22 3" xfId="1075" xr:uid="{00000000-0005-0000-0000-00002E040000}"/>
    <cellStyle name="一般 22 3 2" xfId="1076" xr:uid="{00000000-0005-0000-0000-00002F040000}"/>
    <cellStyle name="一般 22 4" xfId="1077" xr:uid="{00000000-0005-0000-0000-000030040000}"/>
    <cellStyle name="一般 220" xfId="1078" xr:uid="{00000000-0005-0000-0000-000031040000}"/>
    <cellStyle name="一般 220 2" xfId="1079" xr:uid="{00000000-0005-0000-0000-000032040000}"/>
    <cellStyle name="一般 220 2 2" xfId="1080" xr:uid="{00000000-0005-0000-0000-000033040000}"/>
    <cellStyle name="一般 220 2 2 2" xfId="1081" xr:uid="{00000000-0005-0000-0000-000034040000}"/>
    <cellStyle name="一般 220 2 3" xfId="1082" xr:uid="{00000000-0005-0000-0000-000035040000}"/>
    <cellStyle name="一般 220 3" xfId="1083" xr:uid="{00000000-0005-0000-0000-000036040000}"/>
    <cellStyle name="一般 220 3 2" xfId="1084" xr:uid="{00000000-0005-0000-0000-000037040000}"/>
    <cellStyle name="一般 220 4" xfId="1085" xr:uid="{00000000-0005-0000-0000-000038040000}"/>
    <cellStyle name="一般 221" xfId="1086" xr:uid="{00000000-0005-0000-0000-000039040000}"/>
    <cellStyle name="一般 221 2" xfId="1087" xr:uid="{00000000-0005-0000-0000-00003A040000}"/>
    <cellStyle name="一般 221 2 2" xfId="1088" xr:uid="{00000000-0005-0000-0000-00003B040000}"/>
    <cellStyle name="一般 221 2 2 2" xfId="1089" xr:uid="{00000000-0005-0000-0000-00003C040000}"/>
    <cellStyle name="一般 221 2 3" xfId="1090" xr:uid="{00000000-0005-0000-0000-00003D040000}"/>
    <cellStyle name="一般 221 3" xfId="1091" xr:uid="{00000000-0005-0000-0000-00003E040000}"/>
    <cellStyle name="一般 221 3 2" xfId="1092" xr:uid="{00000000-0005-0000-0000-00003F040000}"/>
    <cellStyle name="一般 221 4" xfId="1093" xr:uid="{00000000-0005-0000-0000-000040040000}"/>
    <cellStyle name="一般 222" xfId="1094" xr:uid="{00000000-0005-0000-0000-000041040000}"/>
    <cellStyle name="一般 222 2" xfId="1095" xr:uid="{00000000-0005-0000-0000-000042040000}"/>
    <cellStyle name="一般 222 2 2" xfId="1096" xr:uid="{00000000-0005-0000-0000-000043040000}"/>
    <cellStyle name="一般 222 2 2 2" xfId="1097" xr:uid="{00000000-0005-0000-0000-000044040000}"/>
    <cellStyle name="一般 222 2 3" xfId="1098" xr:uid="{00000000-0005-0000-0000-000045040000}"/>
    <cellStyle name="一般 222 3" xfId="1099" xr:uid="{00000000-0005-0000-0000-000046040000}"/>
    <cellStyle name="一般 222 3 2" xfId="1100" xr:uid="{00000000-0005-0000-0000-000047040000}"/>
    <cellStyle name="一般 222 4" xfId="1101" xr:uid="{00000000-0005-0000-0000-000048040000}"/>
    <cellStyle name="一般 223" xfId="1102" xr:uid="{00000000-0005-0000-0000-000049040000}"/>
    <cellStyle name="一般 223 2" xfId="1103" xr:uid="{00000000-0005-0000-0000-00004A040000}"/>
    <cellStyle name="一般 223 2 2" xfId="1104" xr:uid="{00000000-0005-0000-0000-00004B040000}"/>
    <cellStyle name="一般 223 2 2 2" xfId="1105" xr:uid="{00000000-0005-0000-0000-00004C040000}"/>
    <cellStyle name="一般 223 2 3" xfId="1106" xr:uid="{00000000-0005-0000-0000-00004D040000}"/>
    <cellStyle name="一般 223 3" xfId="1107" xr:uid="{00000000-0005-0000-0000-00004E040000}"/>
    <cellStyle name="一般 223 3 2" xfId="1108" xr:uid="{00000000-0005-0000-0000-00004F040000}"/>
    <cellStyle name="一般 223 4" xfId="1109" xr:uid="{00000000-0005-0000-0000-000050040000}"/>
    <cellStyle name="一般 224" xfId="1110" xr:uid="{00000000-0005-0000-0000-000051040000}"/>
    <cellStyle name="一般 224 2" xfId="1111" xr:uid="{00000000-0005-0000-0000-000052040000}"/>
    <cellStyle name="一般 224 2 2" xfId="1112" xr:uid="{00000000-0005-0000-0000-000053040000}"/>
    <cellStyle name="一般 224 2 2 2" xfId="1113" xr:uid="{00000000-0005-0000-0000-000054040000}"/>
    <cellStyle name="一般 224 2 3" xfId="1114" xr:uid="{00000000-0005-0000-0000-000055040000}"/>
    <cellStyle name="一般 224 3" xfId="1115" xr:uid="{00000000-0005-0000-0000-000056040000}"/>
    <cellStyle name="一般 224 3 2" xfId="1116" xr:uid="{00000000-0005-0000-0000-000057040000}"/>
    <cellStyle name="一般 224 4" xfId="1117" xr:uid="{00000000-0005-0000-0000-000058040000}"/>
    <cellStyle name="一般 225" xfId="1118" xr:uid="{00000000-0005-0000-0000-000059040000}"/>
    <cellStyle name="一般 225 2" xfId="1119" xr:uid="{00000000-0005-0000-0000-00005A040000}"/>
    <cellStyle name="一般 225 2 2" xfId="1120" xr:uid="{00000000-0005-0000-0000-00005B040000}"/>
    <cellStyle name="一般 225 2 2 2" xfId="1121" xr:uid="{00000000-0005-0000-0000-00005C040000}"/>
    <cellStyle name="一般 225 2 3" xfId="1122" xr:uid="{00000000-0005-0000-0000-00005D040000}"/>
    <cellStyle name="一般 225 3" xfId="1123" xr:uid="{00000000-0005-0000-0000-00005E040000}"/>
    <cellStyle name="一般 225 3 2" xfId="1124" xr:uid="{00000000-0005-0000-0000-00005F040000}"/>
    <cellStyle name="一般 225 4" xfId="1125" xr:uid="{00000000-0005-0000-0000-000060040000}"/>
    <cellStyle name="一般 226" xfId="1126" xr:uid="{00000000-0005-0000-0000-000061040000}"/>
    <cellStyle name="一般 226 2" xfId="1127" xr:uid="{00000000-0005-0000-0000-000062040000}"/>
    <cellStyle name="一般 226 2 2" xfId="1128" xr:uid="{00000000-0005-0000-0000-000063040000}"/>
    <cellStyle name="一般 226 2 2 2" xfId="1129" xr:uid="{00000000-0005-0000-0000-000064040000}"/>
    <cellStyle name="一般 226 2 3" xfId="1130" xr:uid="{00000000-0005-0000-0000-000065040000}"/>
    <cellStyle name="一般 226 3" xfId="1131" xr:uid="{00000000-0005-0000-0000-000066040000}"/>
    <cellStyle name="一般 226 3 2" xfId="1132" xr:uid="{00000000-0005-0000-0000-000067040000}"/>
    <cellStyle name="一般 226 4" xfId="1133" xr:uid="{00000000-0005-0000-0000-000068040000}"/>
    <cellStyle name="一般 227" xfId="1134" xr:uid="{00000000-0005-0000-0000-000069040000}"/>
    <cellStyle name="一般 227 2" xfId="1135" xr:uid="{00000000-0005-0000-0000-00006A040000}"/>
    <cellStyle name="一般 227 2 2" xfId="1136" xr:uid="{00000000-0005-0000-0000-00006B040000}"/>
    <cellStyle name="一般 227 2 2 2" xfId="1137" xr:uid="{00000000-0005-0000-0000-00006C040000}"/>
    <cellStyle name="一般 227 2 3" xfId="1138" xr:uid="{00000000-0005-0000-0000-00006D040000}"/>
    <cellStyle name="一般 227 3" xfId="1139" xr:uid="{00000000-0005-0000-0000-00006E040000}"/>
    <cellStyle name="一般 227 3 2" xfId="1140" xr:uid="{00000000-0005-0000-0000-00006F040000}"/>
    <cellStyle name="一般 227 4" xfId="1141" xr:uid="{00000000-0005-0000-0000-000070040000}"/>
    <cellStyle name="一般 228" xfId="1142" xr:uid="{00000000-0005-0000-0000-000071040000}"/>
    <cellStyle name="一般 228 2" xfId="1143" xr:uid="{00000000-0005-0000-0000-000072040000}"/>
    <cellStyle name="一般 228 2 2" xfId="1144" xr:uid="{00000000-0005-0000-0000-000073040000}"/>
    <cellStyle name="一般 228 2 2 2" xfId="1145" xr:uid="{00000000-0005-0000-0000-000074040000}"/>
    <cellStyle name="一般 228 2 3" xfId="1146" xr:uid="{00000000-0005-0000-0000-000075040000}"/>
    <cellStyle name="一般 228 3" xfId="1147" xr:uid="{00000000-0005-0000-0000-000076040000}"/>
    <cellStyle name="一般 228 3 2" xfId="1148" xr:uid="{00000000-0005-0000-0000-000077040000}"/>
    <cellStyle name="一般 228 4" xfId="1149" xr:uid="{00000000-0005-0000-0000-000078040000}"/>
    <cellStyle name="一般 229" xfId="1150" xr:uid="{00000000-0005-0000-0000-000079040000}"/>
    <cellStyle name="一般 229 2" xfId="1151" xr:uid="{00000000-0005-0000-0000-00007A040000}"/>
    <cellStyle name="一般 229 2 2" xfId="1152" xr:uid="{00000000-0005-0000-0000-00007B040000}"/>
    <cellStyle name="一般 229 2 2 2" xfId="1153" xr:uid="{00000000-0005-0000-0000-00007C040000}"/>
    <cellStyle name="一般 229 2 3" xfId="1154" xr:uid="{00000000-0005-0000-0000-00007D040000}"/>
    <cellStyle name="一般 229 3" xfId="1155" xr:uid="{00000000-0005-0000-0000-00007E040000}"/>
    <cellStyle name="一般 229 3 2" xfId="1156" xr:uid="{00000000-0005-0000-0000-00007F040000}"/>
    <cellStyle name="一般 229 4" xfId="1157" xr:uid="{00000000-0005-0000-0000-000080040000}"/>
    <cellStyle name="一般 23" xfId="1158" xr:uid="{00000000-0005-0000-0000-000081040000}"/>
    <cellStyle name="一般 23 2" xfId="1159" xr:uid="{00000000-0005-0000-0000-000082040000}"/>
    <cellStyle name="一般 23 2 2" xfId="1160" xr:uid="{00000000-0005-0000-0000-000083040000}"/>
    <cellStyle name="一般 23 2 2 2" xfId="1161" xr:uid="{00000000-0005-0000-0000-000084040000}"/>
    <cellStyle name="一般 23 2 3" xfId="1162" xr:uid="{00000000-0005-0000-0000-000085040000}"/>
    <cellStyle name="一般 23 3" xfId="1163" xr:uid="{00000000-0005-0000-0000-000086040000}"/>
    <cellStyle name="一般 23 3 2" xfId="1164" xr:uid="{00000000-0005-0000-0000-000087040000}"/>
    <cellStyle name="一般 23 4" xfId="1165" xr:uid="{00000000-0005-0000-0000-000088040000}"/>
    <cellStyle name="一般 230" xfId="1166" xr:uid="{00000000-0005-0000-0000-000089040000}"/>
    <cellStyle name="一般 230 2" xfId="1167" xr:uid="{00000000-0005-0000-0000-00008A040000}"/>
    <cellStyle name="一般 230 2 2" xfId="1168" xr:uid="{00000000-0005-0000-0000-00008B040000}"/>
    <cellStyle name="一般 230 2 2 2" xfId="1169" xr:uid="{00000000-0005-0000-0000-00008C040000}"/>
    <cellStyle name="一般 230 2 3" xfId="1170" xr:uid="{00000000-0005-0000-0000-00008D040000}"/>
    <cellStyle name="一般 230 3" xfId="1171" xr:uid="{00000000-0005-0000-0000-00008E040000}"/>
    <cellStyle name="一般 230 3 2" xfId="1172" xr:uid="{00000000-0005-0000-0000-00008F040000}"/>
    <cellStyle name="一般 230 4" xfId="1173" xr:uid="{00000000-0005-0000-0000-000090040000}"/>
    <cellStyle name="一般 231" xfId="1174" xr:uid="{00000000-0005-0000-0000-000091040000}"/>
    <cellStyle name="一般 231 2" xfId="1175" xr:uid="{00000000-0005-0000-0000-000092040000}"/>
    <cellStyle name="一般 231 2 2" xfId="1176" xr:uid="{00000000-0005-0000-0000-000093040000}"/>
    <cellStyle name="一般 231 3" xfId="1177" xr:uid="{00000000-0005-0000-0000-000094040000}"/>
    <cellStyle name="一般 232" xfId="1178" xr:uid="{00000000-0005-0000-0000-000095040000}"/>
    <cellStyle name="一般 232 2" xfId="1179" xr:uid="{00000000-0005-0000-0000-000096040000}"/>
    <cellStyle name="一般 232 2 2" xfId="1180" xr:uid="{00000000-0005-0000-0000-000097040000}"/>
    <cellStyle name="一般 232 3" xfId="1181" xr:uid="{00000000-0005-0000-0000-000098040000}"/>
    <cellStyle name="一般 233" xfId="1182" xr:uid="{00000000-0005-0000-0000-000099040000}"/>
    <cellStyle name="一般 233 2" xfId="1183" xr:uid="{00000000-0005-0000-0000-00009A040000}"/>
    <cellStyle name="一般 233 2 2" xfId="1184" xr:uid="{00000000-0005-0000-0000-00009B040000}"/>
    <cellStyle name="一般 233 3" xfId="1185" xr:uid="{00000000-0005-0000-0000-00009C040000}"/>
    <cellStyle name="一般 234" xfId="1186" xr:uid="{00000000-0005-0000-0000-00009D040000}"/>
    <cellStyle name="一般 234 2" xfId="1187" xr:uid="{00000000-0005-0000-0000-00009E040000}"/>
    <cellStyle name="一般 234 2 2" xfId="1188" xr:uid="{00000000-0005-0000-0000-00009F040000}"/>
    <cellStyle name="一般 234 3" xfId="1189" xr:uid="{00000000-0005-0000-0000-0000A0040000}"/>
    <cellStyle name="一般 235" xfId="1190" xr:uid="{00000000-0005-0000-0000-0000A1040000}"/>
    <cellStyle name="一般 235 2" xfId="1191" xr:uid="{00000000-0005-0000-0000-0000A2040000}"/>
    <cellStyle name="一般 235 2 2" xfId="1192" xr:uid="{00000000-0005-0000-0000-0000A3040000}"/>
    <cellStyle name="一般 235 3" xfId="1193" xr:uid="{00000000-0005-0000-0000-0000A4040000}"/>
    <cellStyle name="一般 236" xfId="1194" xr:uid="{00000000-0005-0000-0000-0000A5040000}"/>
    <cellStyle name="一般 236 2" xfId="1195" xr:uid="{00000000-0005-0000-0000-0000A6040000}"/>
    <cellStyle name="一般 236 2 2" xfId="1196" xr:uid="{00000000-0005-0000-0000-0000A7040000}"/>
    <cellStyle name="一般 236 3" xfId="1197" xr:uid="{00000000-0005-0000-0000-0000A8040000}"/>
    <cellStyle name="一般 237" xfId="1198" xr:uid="{00000000-0005-0000-0000-0000A9040000}"/>
    <cellStyle name="一般 237 2" xfId="1199" xr:uid="{00000000-0005-0000-0000-0000AA040000}"/>
    <cellStyle name="一般 237 2 2" xfId="1200" xr:uid="{00000000-0005-0000-0000-0000AB040000}"/>
    <cellStyle name="一般 237 3" xfId="1201" xr:uid="{00000000-0005-0000-0000-0000AC040000}"/>
    <cellStyle name="一般 238" xfId="1202" xr:uid="{00000000-0005-0000-0000-0000AD040000}"/>
    <cellStyle name="一般 238 2" xfId="1203" xr:uid="{00000000-0005-0000-0000-0000AE040000}"/>
    <cellStyle name="一般 238 2 2" xfId="1204" xr:uid="{00000000-0005-0000-0000-0000AF040000}"/>
    <cellStyle name="一般 238 3" xfId="1205" xr:uid="{00000000-0005-0000-0000-0000B0040000}"/>
    <cellStyle name="一般 239" xfId="1206" xr:uid="{00000000-0005-0000-0000-0000B1040000}"/>
    <cellStyle name="一般 239 2" xfId="1207" xr:uid="{00000000-0005-0000-0000-0000B2040000}"/>
    <cellStyle name="一般 239 2 2" xfId="1208" xr:uid="{00000000-0005-0000-0000-0000B3040000}"/>
    <cellStyle name="一般 239 3" xfId="1209" xr:uid="{00000000-0005-0000-0000-0000B4040000}"/>
    <cellStyle name="一般 24" xfId="1210" xr:uid="{00000000-0005-0000-0000-0000B5040000}"/>
    <cellStyle name="一般 24 2" xfId="1211" xr:uid="{00000000-0005-0000-0000-0000B6040000}"/>
    <cellStyle name="一般 24 2 2" xfId="1212" xr:uid="{00000000-0005-0000-0000-0000B7040000}"/>
    <cellStyle name="一般 24 2 2 2" xfId="1213" xr:uid="{00000000-0005-0000-0000-0000B8040000}"/>
    <cellStyle name="一般 24 2 3" xfId="1214" xr:uid="{00000000-0005-0000-0000-0000B9040000}"/>
    <cellStyle name="一般 24 3" xfId="1215" xr:uid="{00000000-0005-0000-0000-0000BA040000}"/>
    <cellStyle name="一般 24 3 2" xfId="1216" xr:uid="{00000000-0005-0000-0000-0000BB040000}"/>
    <cellStyle name="一般 24 4" xfId="1217" xr:uid="{00000000-0005-0000-0000-0000BC040000}"/>
    <cellStyle name="一般 240" xfId="1218" xr:uid="{00000000-0005-0000-0000-0000BD040000}"/>
    <cellStyle name="一般 240 2" xfId="1219" xr:uid="{00000000-0005-0000-0000-0000BE040000}"/>
    <cellStyle name="一般 240 2 2" xfId="1220" xr:uid="{00000000-0005-0000-0000-0000BF040000}"/>
    <cellStyle name="一般 240 3" xfId="1221" xr:uid="{00000000-0005-0000-0000-0000C0040000}"/>
    <cellStyle name="一般 241" xfId="1222" xr:uid="{00000000-0005-0000-0000-0000C1040000}"/>
    <cellStyle name="一般 241 2" xfId="1223" xr:uid="{00000000-0005-0000-0000-0000C2040000}"/>
    <cellStyle name="一般 241 2 2" xfId="1224" xr:uid="{00000000-0005-0000-0000-0000C3040000}"/>
    <cellStyle name="一般 241 3" xfId="1225" xr:uid="{00000000-0005-0000-0000-0000C4040000}"/>
    <cellStyle name="一般 242" xfId="1226" xr:uid="{00000000-0005-0000-0000-0000C5040000}"/>
    <cellStyle name="一般 242 2" xfId="1227" xr:uid="{00000000-0005-0000-0000-0000C6040000}"/>
    <cellStyle name="一般 242 2 2" xfId="1228" xr:uid="{00000000-0005-0000-0000-0000C7040000}"/>
    <cellStyle name="一般 242 3" xfId="1229" xr:uid="{00000000-0005-0000-0000-0000C8040000}"/>
    <cellStyle name="一般 243" xfId="1230" xr:uid="{00000000-0005-0000-0000-0000C9040000}"/>
    <cellStyle name="一般 243 2" xfId="1231" xr:uid="{00000000-0005-0000-0000-0000CA040000}"/>
    <cellStyle name="一般 243 2 2" xfId="1232" xr:uid="{00000000-0005-0000-0000-0000CB040000}"/>
    <cellStyle name="一般 243 3" xfId="1233" xr:uid="{00000000-0005-0000-0000-0000CC040000}"/>
    <cellStyle name="一般 244" xfId="1234" xr:uid="{00000000-0005-0000-0000-0000CD040000}"/>
    <cellStyle name="一般 244 2" xfId="1235" xr:uid="{00000000-0005-0000-0000-0000CE040000}"/>
    <cellStyle name="一般 244 2 2" xfId="1236" xr:uid="{00000000-0005-0000-0000-0000CF040000}"/>
    <cellStyle name="一般 244 3" xfId="1237" xr:uid="{00000000-0005-0000-0000-0000D0040000}"/>
    <cellStyle name="一般 245" xfId="1238" xr:uid="{00000000-0005-0000-0000-0000D1040000}"/>
    <cellStyle name="一般 245 2" xfId="1239" xr:uid="{00000000-0005-0000-0000-0000D2040000}"/>
    <cellStyle name="一般 245 2 2" xfId="1240" xr:uid="{00000000-0005-0000-0000-0000D3040000}"/>
    <cellStyle name="一般 245 3" xfId="1241" xr:uid="{00000000-0005-0000-0000-0000D4040000}"/>
    <cellStyle name="一般 246" xfId="1242" xr:uid="{00000000-0005-0000-0000-0000D5040000}"/>
    <cellStyle name="一般 246 2" xfId="1243" xr:uid="{00000000-0005-0000-0000-0000D6040000}"/>
    <cellStyle name="一般 246 2 2" xfId="1244" xr:uid="{00000000-0005-0000-0000-0000D7040000}"/>
    <cellStyle name="一般 246 3" xfId="1245" xr:uid="{00000000-0005-0000-0000-0000D8040000}"/>
    <cellStyle name="一般 247" xfId="1246" xr:uid="{00000000-0005-0000-0000-0000D9040000}"/>
    <cellStyle name="一般 247 2" xfId="1247" xr:uid="{00000000-0005-0000-0000-0000DA040000}"/>
    <cellStyle name="一般 247 2 2" xfId="1248" xr:uid="{00000000-0005-0000-0000-0000DB040000}"/>
    <cellStyle name="一般 247 3" xfId="1249" xr:uid="{00000000-0005-0000-0000-0000DC040000}"/>
    <cellStyle name="一般 248" xfId="1250" xr:uid="{00000000-0005-0000-0000-0000DD040000}"/>
    <cellStyle name="一般 248 2" xfId="1251" xr:uid="{00000000-0005-0000-0000-0000DE040000}"/>
    <cellStyle name="一般 248 2 2" xfId="1252" xr:uid="{00000000-0005-0000-0000-0000DF040000}"/>
    <cellStyle name="一般 248 3" xfId="1253" xr:uid="{00000000-0005-0000-0000-0000E0040000}"/>
    <cellStyle name="一般 249" xfId="1254" xr:uid="{00000000-0005-0000-0000-0000E1040000}"/>
    <cellStyle name="一般 249 2" xfId="1255" xr:uid="{00000000-0005-0000-0000-0000E2040000}"/>
    <cellStyle name="一般 249 2 2" xfId="1256" xr:uid="{00000000-0005-0000-0000-0000E3040000}"/>
    <cellStyle name="一般 249 3" xfId="1257" xr:uid="{00000000-0005-0000-0000-0000E4040000}"/>
    <cellStyle name="一般 25" xfId="1258" xr:uid="{00000000-0005-0000-0000-0000E5040000}"/>
    <cellStyle name="一般 25 2" xfId="1259" xr:uid="{00000000-0005-0000-0000-0000E6040000}"/>
    <cellStyle name="一般 25 2 2" xfId="1260" xr:uid="{00000000-0005-0000-0000-0000E7040000}"/>
    <cellStyle name="一般 25 2 2 2" xfId="1261" xr:uid="{00000000-0005-0000-0000-0000E8040000}"/>
    <cellStyle name="一般 25 2 3" xfId="1262" xr:uid="{00000000-0005-0000-0000-0000E9040000}"/>
    <cellStyle name="一般 25 3" xfId="1263" xr:uid="{00000000-0005-0000-0000-0000EA040000}"/>
    <cellStyle name="一般 25 3 2" xfId="1264" xr:uid="{00000000-0005-0000-0000-0000EB040000}"/>
    <cellStyle name="一般 25 4" xfId="1265" xr:uid="{00000000-0005-0000-0000-0000EC040000}"/>
    <cellStyle name="一般 250" xfId="1266" xr:uid="{00000000-0005-0000-0000-0000ED040000}"/>
    <cellStyle name="一般 250 2" xfId="1267" xr:uid="{00000000-0005-0000-0000-0000EE040000}"/>
    <cellStyle name="一般 250 2 2" xfId="1268" xr:uid="{00000000-0005-0000-0000-0000EF040000}"/>
    <cellStyle name="一般 250 3" xfId="1269" xr:uid="{00000000-0005-0000-0000-0000F0040000}"/>
    <cellStyle name="一般 251" xfId="1270" xr:uid="{00000000-0005-0000-0000-0000F1040000}"/>
    <cellStyle name="一般 251 2" xfId="1271" xr:uid="{00000000-0005-0000-0000-0000F2040000}"/>
    <cellStyle name="一般 251 2 2" xfId="1272" xr:uid="{00000000-0005-0000-0000-0000F3040000}"/>
    <cellStyle name="一般 251 3" xfId="1273" xr:uid="{00000000-0005-0000-0000-0000F4040000}"/>
    <cellStyle name="一般 252" xfId="1274" xr:uid="{00000000-0005-0000-0000-0000F5040000}"/>
    <cellStyle name="一般 252 2" xfId="1275" xr:uid="{00000000-0005-0000-0000-0000F6040000}"/>
    <cellStyle name="一般 252 2 2" xfId="1276" xr:uid="{00000000-0005-0000-0000-0000F7040000}"/>
    <cellStyle name="一般 252 3" xfId="1277" xr:uid="{00000000-0005-0000-0000-0000F8040000}"/>
    <cellStyle name="一般 253" xfId="1278" xr:uid="{00000000-0005-0000-0000-0000F9040000}"/>
    <cellStyle name="一般 253 2" xfId="1279" xr:uid="{00000000-0005-0000-0000-0000FA040000}"/>
    <cellStyle name="一般 253 2 2" xfId="1280" xr:uid="{00000000-0005-0000-0000-0000FB040000}"/>
    <cellStyle name="一般 253 3" xfId="1281" xr:uid="{00000000-0005-0000-0000-0000FC040000}"/>
    <cellStyle name="一般 254" xfId="1282" xr:uid="{00000000-0005-0000-0000-0000FD040000}"/>
    <cellStyle name="一般 254 2" xfId="1283" xr:uid="{00000000-0005-0000-0000-0000FE040000}"/>
    <cellStyle name="一般 254 2 2" xfId="1284" xr:uid="{00000000-0005-0000-0000-0000FF040000}"/>
    <cellStyle name="一般 254 3" xfId="1285" xr:uid="{00000000-0005-0000-0000-000000050000}"/>
    <cellStyle name="一般 255" xfId="1286" xr:uid="{00000000-0005-0000-0000-000001050000}"/>
    <cellStyle name="一般 255 2" xfId="1287" xr:uid="{00000000-0005-0000-0000-000002050000}"/>
    <cellStyle name="一般 255 2 2" xfId="1288" xr:uid="{00000000-0005-0000-0000-000003050000}"/>
    <cellStyle name="一般 255 3" xfId="1289" xr:uid="{00000000-0005-0000-0000-000004050000}"/>
    <cellStyle name="一般 256" xfId="1290" xr:uid="{00000000-0005-0000-0000-000005050000}"/>
    <cellStyle name="一般 256 2" xfId="1291" xr:uid="{00000000-0005-0000-0000-000006050000}"/>
    <cellStyle name="一般 256 2 2" xfId="1292" xr:uid="{00000000-0005-0000-0000-000007050000}"/>
    <cellStyle name="一般 256 3" xfId="1293" xr:uid="{00000000-0005-0000-0000-000008050000}"/>
    <cellStyle name="一般 257" xfId="1294" xr:uid="{00000000-0005-0000-0000-000009050000}"/>
    <cellStyle name="一般 257 2" xfId="1295" xr:uid="{00000000-0005-0000-0000-00000A050000}"/>
    <cellStyle name="一般 257 2 2" xfId="1296" xr:uid="{00000000-0005-0000-0000-00000B050000}"/>
    <cellStyle name="一般 257 3" xfId="1297" xr:uid="{00000000-0005-0000-0000-00000C050000}"/>
    <cellStyle name="一般 258" xfId="1298" xr:uid="{00000000-0005-0000-0000-00000D050000}"/>
    <cellStyle name="一般 258 2" xfId="1299" xr:uid="{00000000-0005-0000-0000-00000E050000}"/>
    <cellStyle name="一般 258 2 2" xfId="1300" xr:uid="{00000000-0005-0000-0000-00000F050000}"/>
    <cellStyle name="一般 258 3" xfId="1301" xr:uid="{00000000-0005-0000-0000-000010050000}"/>
    <cellStyle name="一般 259" xfId="1302" xr:uid="{00000000-0005-0000-0000-000011050000}"/>
    <cellStyle name="一般 259 2" xfId="1303" xr:uid="{00000000-0005-0000-0000-000012050000}"/>
    <cellStyle name="一般 259 2 2" xfId="1304" xr:uid="{00000000-0005-0000-0000-000013050000}"/>
    <cellStyle name="一般 259 3" xfId="1305" xr:uid="{00000000-0005-0000-0000-000014050000}"/>
    <cellStyle name="一般 26" xfId="1306" xr:uid="{00000000-0005-0000-0000-000015050000}"/>
    <cellStyle name="一般 26 2" xfId="1307" xr:uid="{00000000-0005-0000-0000-000016050000}"/>
    <cellStyle name="一般 26 2 2" xfId="1308" xr:uid="{00000000-0005-0000-0000-000017050000}"/>
    <cellStyle name="一般 26 2 2 2" xfId="1309" xr:uid="{00000000-0005-0000-0000-000018050000}"/>
    <cellStyle name="一般 26 2 3" xfId="1310" xr:uid="{00000000-0005-0000-0000-000019050000}"/>
    <cellStyle name="一般 26 3" xfId="1311" xr:uid="{00000000-0005-0000-0000-00001A050000}"/>
    <cellStyle name="一般 26 3 2" xfId="1312" xr:uid="{00000000-0005-0000-0000-00001B050000}"/>
    <cellStyle name="一般 26 4" xfId="1313" xr:uid="{00000000-0005-0000-0000-00001C050000}"/>
    <cellStyle name="一般 260" xfId="1314" xr:uid="{00000000-0005-0000-0000-00001D050000}"/>
    <cellStyle name="一般 260 2" xfId="1315" xr:uid="{00000000-0005-0000-0000-00001E050000}"/>
    <cellStyle name="一般 260 2 2" xfId="1316" xr:uid="{00000000-0005-0000-0000-00001F050000}"/>
    <cellStyle name="一般 260 3" xfId="1317" xr:uid="{00000000-0005-0000-0000-000020050000}"/>
    <cellStyle name="一般 261" xfId="1318" xr:uid="{00000000-0005-0000-0000-000021050000}"/>
    <cellStyle name="一般 261 2" xfId="1319" xr:uid="{00000000-0005-0000-0000-000022050000}"/>
    <cellStyle name="一般 261 2 2" xfId="1320" xr:uid="{00000000-0005-0000-0000-000023050000}"/>
    <cellStyle name="一般 261 3" xfId="1321" xr:uid="{00000000-0005-0000-0000-000024050000}"/>
    <cellStyle name="一般 262" xfId="1322" xr:uid="{00000000-0005-0000-0000-000025050000}"/>
    <cellStyle name="一般 262 2" xfId="1323" xr:uid="{00000000-0005-0000-0000-000026050000}"/>
    <cellStyle name="一般 262 2 2" xfId="1324" xr:uid="{00000000-0005-0000-0000-000027050000}"/>
    <cellStyle name="一般 262 3" xfId="1325" xr:uid="{00000000-0005-0000-0000-000028050000}"/>
    <cellStyle name="一般 263" xfId="1326" xr:uid="{00000000-0005-0000-0000-000029050000}"/>
    <cellStyle name="一般 263 2" xfId="1327" xr:uid="{00000000-0005-0000-0000-00002A050000}"/>
    <cellStyle name="一般 263 2 2" xfId="1328" xr:uid="{00000000-0005-0000-0000-00002B050000}"/>
    <cellStyle name="一般 263 3" xfId="1329" xr:uid="{00000000-0005-0000-0000-00002C050000}"/>
    <cellStyle name="一般 264" xfId="1330" xr:uid="{00000000-0005-0000-0000-00002D050000}"/>
    <cellStyle name="一般 264 2" xfId="1331" xr:uid="{00000000-0005-0000-0000-00002E050000}"/>
    <cellStyle name="一般 264 2 2" xfId="1332" xr:uid="{00000000-0005-0000-0000-00002F050000}"/>
    <cellStyle name="一般 264 3" xfId="1333" xr:uid="{00000000-0005-0000-0000-000030050000}"/>
    <cellStyle name="一般 265" xfId="1334" xr:uid="{00000000-0005-0000-0000-000031050000}"/>
    <cellStyle name="一般 265 2" xfId="1335" xr:uid="{00000000-0005-0000-0000-000032050000}"/>
    <cellStyle name="一般 265 2 2" xfId="1336" xr:uid="{00000000-0005-0000-0000-000033050000}"/>
    <cellStyle name="一般 265 3" xfId="1337" xr:uid="{00000000-0005-0000-0000-000034050000}"/>
    <cellStyle name="一般 266" xfId="1338" xr:uid="{00000000-0005-0000-0000-000035050000}"/>
    <cellStyle name="一般 266 2" xfId="1339" xr:uid="{00000000-0005-0000-0000-000036050000}"/>
    <cellStyle name="一般 266 2 2" xfId="1340" xr:uid="{00000000-0005-0000-0000-000037050000}"/>
    <cellStyle name="一般 266 3" xfId="1341" xr:uid="{00000000-0005-0000-0000-000038050000}"/>
    <cellStyle name="一般 267" xfId="1342" xr:uid="{00000000-0005-0000-0000-000039050000}"/>
    <cellStyle name="一般 267 2" xfId="1343" xr:uid="{00000000-0005-0000-0000-00003A050000}"/>
    <cellStyle name="一般 267 2 2" xfId="1344" xr:uid="{00000000-0005-0000-0000-00003B050000}"/>
    <cellStyle name="一般 267 3" xfId="1345" xr:uid="{00000000-0005-0000-0000-00003C050000}"/>
    <cellStyle name="一般 268" xfId="1346" xr:uid="{00000000-0005-0000-0000-00003D050000}"/>
    <cellStyle name="一般 268 2" xfId="1347" xr:uid="{00000000-0005-0000-0000-00003E050000}"/>
    <cellStyle name="一般 268 2 2" xfId="1348" xr:uid="{00000000-0005-0000-0000-00003F050000}"/>
    <cellStyle name="一般 268 3" xfId="1349" xr:uid="{00000000-0005-0000-0000-000040050000}"/>
    <cellStyle name="一般 269" xfId="1350" xr:uid="{00000000-0005-0000-0000-000041050000}"/>
    <cellStyle name="一般 269 2" xfId="1351" xr:uid="{00000000-0005-0000-0000-000042050000}"/>
    <cellStyle name="一般 269 2 2" xfId="1352" xr:uid="{00000000-0005-0000-0000-000043050000}"/>
    <cellStyle name="一般 269 3" xfId="1353" xr:uid="{00000000-0005-0000-0000-000044050000}"/>
    <cellStyle name="一般 27" xfId="1354" xr:uid="{00000000-0005-0000-0000-000045050000}"/>
    <cellStyle name="一般 27 2" xfId="1355" xr:uid="{00000000-0005-0000-0000-000046050000}"/>
    <cellStyle name="一般 27 2 2" xfId="1356" xr:uid="{00000000-0005-0000-0000-000047050000}"/>
    <cellStyle name="一般 27 2 2 2" xfId="1357" xr:uid="{00000000-0005-0000-0000-000048050000}"/>
    <cellStyle name="一般 27 2 3" xfId="1358" xr:uid="{00000000-0005-0000-0000-000049050000}"/>
    <cellStyle name="一般 27 3" xfId="1359" xr:uid="{00000000-0005-0000-0000-00004A050000}"/>
    <cellStyle name="一般 27 3 2" xfId="1360" xr:uid="{00000000-0005-0000-0000-00004B050000}"/>
    <cellStyle name="一般 27 4" xfId="1361" xr:uid="{00000000-0005-0000-0000-00004C050000}"/>
    <cellStyle name="一般 270" xfId="1362" xr:uid="{00000000-0005-0000-0000-00004D050000}"/>
    <cellStyle name="一般 270 2" xfId="1363" xr:uid="{00000000-0005-0000-0000-00004E050000}"/>
    <cellStyle name="一般 270 2 2" xfId="1364" xr:uid="{00000000-0005-0000-0000-00004F050000}"/>
    <cellStyle name="一般 270 3" xfId="1365" xr:uid="{00000000-0005-0000-0000-000050050000}"/>
    <cellStyle name="一般 271" xfId="1366" xr:uid="{00000000-0005-0000-0000-000051050000}"/>
    <cellStyle name="一般 271 2" xfId="1367" xr:uid="{00000000-0005-0000-0000-000052050000}"/>
    <cellStyle name="一般 271 2 2" xfId="1368" xr:uid="{00000000-0005-0000-0000-000053050000}"/>
    <cellStyle name="一般 271 3" xfId="1369" xr:uid="{00000000-0005-0000-0000-000054050000}"/>
    <cellStyle name="一般 272" xfId="1370" xr:uid="{00000000-0005-0000-0000-000055050000}"/>
    <cellStyle name="一般 272 2" xfId="1371" xr:uid="{00000000-0005-0000-0000-000056050000}"/>
    <cellStyle name="一般 272 2 2" xfId="1372" xr:uid="{00000000-0005-0000-0000-000057050000}"/>
    <cellStyle name="一般 272 3" xfId="1373" xr:uid="{00000000-0005-0000-0000-000058050000}"/>
    <cellStyle name="一般 273" xfId="1374" xr:uid="{00000000-0005-0000-0000-000059050000}"/>
    <cellStyle name="一般 273 2" xfId="1375" xr:uid="{00000000-0005-0000-0000-00005A050000}"/>
    <cellStyle name="一般 273 2 2" xfId="1376" xr:uid="{00000000-0005-0000-0000-00005B050000}"/>
    <cellStyle name="一般 273 3" xfId="1377" xr:uid="{00000000-0005-0000-0000-00005C050000}"/>
    <cellStyle name="一般 274" xfId="1378" xr:uid="{00000000-0005-0000-0000-00005D050000}"/>
    <cellStyle name="一般 274 2" xfId="1379" xr:uid="{00000000-0005-0000-0000-00005E050000}"/>
    <cellStyle name="一般 274 2 2" xfId="1380" xr:uid="{00000000-0005-0000-0000-00005F050000}"/>
    <cellStyle name="一般 274 3" xfId="1381" xr:uid="{00000000-0005-0000-0000-000060050000}"/>
    <cellStyle name="一般 275" xfId="1382" xr:uid="{00000000-0005-0000-0000-000061050000}"/>
    <cellStyle name="一般 275 2" xfId="1383" xr:uid="{00000000-0005-0000-0000-000062050000}"/>
    <cellStyle name="一般 275 2 2" xfId="1384" xr:uid="{00000000-0005-0000-0000-000063050000}"/>
    <cellStyle name="一般 275 3" xfId="1385" xr:uid="{00000000-0005-0000-0000-000064050000}"/>
    <cellStyle name="一般 276" xfId="1386" xr:uid="{00000000-0005-0000-0000-000065050000}"/>
    <cellStyle name="一般 276 2" xfId="1387" xr:uid="{00000000-0005-0000-0000-000066050000}"/>
    <cellStyle name="一般 276 2 2" xfId="1388" xr:uid="{00000000-0005-0000-0000-000067050000}"/>
    <cellStyle name="一般 276 3" xfId="1389" xr:uid="{00000000-0005-0000-0000-000068050000}"/>
    <cellStyle name="一般 277" xfId="1390" xr:uid="{00000000-0005-0000-0000-000069050000}"/>
    <cellStyle name="一般 277 2" xfId="1391" xr:uid="{00000000-0005-0000-0000-00006A050000}"/>
    <cellStyle name="一般 277 2 2" xfId="1392" xr:uid="{00000000-0005-0000-0000-00006B050000}"/>
    <cellStyle name="一般 277 3" xfId="1393" xr:uid="{00000000-0005-0000-0000-00006C050000}"/>
    <cellStyle name="一般 278" xfId="1394" xr:uid="{00000000-0005-0000-0000-00006D050000}"/>
    <cellStyle name="一般 278 2" xfId="1395" xr:uid="{00000000-0005-0000-0000-00006E050000}"/>
    <cellStyle name="一般 278 2 2" xfId="1396" xr:uid="{00000000-0005-0000-0000-00006F050000}"/>
    <cellStyle name="一般 278 3" xfId="1397" xr:uid="{00000000-0005-0000-0000-000070050000}"/>
    <cellStyle name="一般 279" xfId="1398" xr:uid="{00000000-0005-0000-0000-000071050000}"/>
    <cellStyle name="一般 279 2" xfId="1399" xr:uid="{00000000-0005-0000-0000-000072050000}"/>
    <cellStyle name="一般 279 2 2" xfId="1400" xr:uid="{00000000-0005-0000-0000-000073050000}"/>
    <cellStyle name="一般 279 3" xfId="1401" xr:uid="{00000000-0005-0000-0000-000074050000}"/>
    <cellStyle name="一般 28" xfId="1402" xr:uid="{00000000-0005-0000-0000-000075050000}"/>
    <cellStyle name="一般 28 2" xfId="1403" xr:uid="{00000000-0005-0000-0000-000076050000}"/>
    <cellStyle name="一般 28 2 2" xfId="1404" xr:uid="{00000000-0005-0000-0000-000077050000}"/>
    <cellStyle name="一般 28 2 2 2" xfId="1405" xr:uid="{00000000-0005-0000-0000-000078050000}"/>
    <cellStyle name="一般 28 2 3" xfId="1406" xr:uid="{00000000-0005-0000-0000-000079050000}"/>
    <cellStyle name="一般 28 3" xfId="1407" xr:uid="{00000000-0005-0000-0000-00007A050000}"/>
    <cellStyle name="一般 28 3 2" xfId="1408" xr:uid="{00000000-0005-0000-0000-00007B050000}"/>
    <cellStyle name="一般 28 4" xfId="1409" xr:uid="{00000000-0005-0000-0000-00007C050000}"/>
    <cellStyle name="一般 280" xfId="1410" xr:uid="{00000000-0005-0000-0000-00007D050000}"/>
    <cellStyle name="一般 280 2" xfId="1411" xr:uid="{00000000-0005-0000-0000-00007E050000}"/>
    <cellStyle name="一般 280 2 2" xfId="1412" xr:uid="{00000000-0005-0000-0000-00007F050000}"/>
    <cellStyle name="一般 280 3" xfId="1413" xr:uid="{00000000-0005-0000-0000-000080050000}"/>
    <cellStyle name="一般 281" xfId="1414" xr:uid="{00000000-0005-0000-0000-000081050000}"/>
    <cellStyle name="一般 281 2" xfId="1415" xr:uid="{00000000-0005-0000-0000-000082050000}"/>
    <cellStyle name="一般 281 2 2" xfId="1416" xr:uid="{00000000-0005-0000-0000-000083050000}"/>
    <cellStyle name="一般 281 3" xfId="1417" xr:uid="{00000000-0005-0000-0000-000084050000}"/>
    <cellStyle name="一般 282" xfId="1418" xr:uid="{00000000-0005-0000-0000-000085050000}"/>
    <cellStyle name="一般 282 2" xfId="1419" xr:uid="{00000000-0005-0000-0000-000086050000}"/>
    <cellStyle name="一般 282 2 2" xfId="1420" xr:uid="{00000000-0005-0000-0000-000087050000}"/>
    <cellStyle name="一般 282 3" xfId="1421" xr:uid="{00000000-0005-0000-0000-000088050000}"/>
    <cellStyle name="一般 283" xfId="1422" xr:uid="{00000000-0005-0000-0000-000089050000}"/>
    <cellStyle name="一般 283 2" xfId="1423" xr:uid="{00000000-0005-0000-0000-00008A050000}"/>
    <cellStyle name="一般 283 2 2" xfId="1424" xr:uid="{00000000-0005-0000-0000-00008B050000}"/>
    <cellStyle name="一般 283 3" xfId="1425" xr:uid="{00000000-0005-0000-0000-00008C050000}"/>
    <cellStyle name="一般 284" xfId="1426" xr:uid="{00000000-0005-0000-0000-00008D050000}"/>
    <cellStyle name="一般 284 2" xfId="1427" xr:uid="{00000000-0005-0000-0000-00008E050000}"/>
    <cellStyle name="一般 284 2 2" xfId="1428" xr:uid="{00000000-0005-0000-0000-00008F050000}"/>
    <cellStyle name="一般 284 3" xfId="1429" xr:uid="{00000000-0005-0000-0000-000090050000}"/>
    <cellStyle name="一般 285" xfId="1430" xr:uid="{00000000-0005-0000-0000-000091050000}"/>
    <cellStyle name="一般 285 2" xfId="1431" xr:uid="{00000000-0005-0000-0000-000092050000}"/>
    <cellStyle name="一般 285 2 2" xfId="1432" xr:uid="{00000000-0005-0000-0000-000093050000}"/>
    <cellStyle name="一般 285 3" xfId="1433" xr:uid="{00000000-0005-0000-0000-000094050000}"/>
    <cellStyle name="一般 286" xfId="1434" xr:uid="{00000000-0005-0000-0000-000095050000}"/>
    <cellStyle name="一般 286 2" xfId="1435" xr:uid="{00000000-0005-0000-0000-000096050000}"/>
    <cellStyle name="一般 286 2 2" xfId="1436" xr:uid="{00000000-0005-0000-0000-000097050000}"/>
    <cellStyle name="一般 286 3" xfId="1437" xr:uid="{00000000-0005-0000-0000-000098050000}"/>
    <cellStyle name="一般 287" xfId="1438" xr:uid="{00000000-0005-0000-0000-000099050000}"/>
    <cellStyle name="一般 287 2" xfId="1439" xr:uid="{00000000-0005-0000-0000-00009A050000}"/>
    <cellStyle name="一般 287 2 2" xfId="1440" xr:uid="{00000000-0005-0000-0000-00009B050000}"/>
    <cellStyle name="一般 287 3" xfId="1441" xr:uid="{00000000-0005-0000-0000-00009C050000}"/>
    <cellStyle name="一般 288" xfId="1442" xr:uid="{00000000-0005-0000-0000-00009D050000}"/>
    <cellStyle name="一般 288 2" xfId="1443" xr:uid="{00000000-0005-0000-0000-00009E050000}"/>
    <cellStyle name="一般 288 2 2" xfId="1444" xr:uid="{00000000-0005-0000-0000-00009F050000}"/>
    <cellStyle name="一般 288 3" xfId="1445" xr:uid="{00000000-0005-0000-0000-0000A0050000}"/>
    <cellStyle name="一般 289" xfId="1446" xr:uid="{00000000-0005-0000-0000-0000A1050000}"/>
    <cellStyle name="一般 289 2" xfId="1447" xr:uid="{00000000-0005-0000-0000-0000A2050000}"/>
    <cellStyle name="一般 289 2 2" xfId="1448" xr:uid="{00000000-0005-0000-0000-0000A3050000}"/>
    <cellStyle name="一般 289 3" xfId="1449" xr:uid="{00000000-0005-0000-0000-0000A4050000}"/>
    <cellStyle name="一般 29" xfId="1450" xr:uid="{00000000-0005-0000-0000-0000A5050000}"/>
    <cellStyle name="一般 29 2" xfId="1451" xr:uid="{00000000-0005-0000-0000-0000A6050000}"/>
    <cellStyle name="一般 29 2 2" xfId="1452" xr:uid="{00000000-0005-0000-0000-0000A7050000}"/>
    <cellStyle name="一般 29 2 2 2" xfId="1453" xr:uid="{00000000-0005-0000-0000-0000A8050000}"/>
    <cellStyle name="一般 29 2 3" xfId="1454" xr:uid="{00000000-0005-0000-0000-0000A9050000}"/>
    <cellStyle name="一般 29 3" xfId="1455" xr:uid="{00000000-0005-0000-0000-0000AA050000}"/>
    <cellStyle name="一般 29 3 2" xfId="1456" xr:uid="{00000000-0005-0000-0000-0000AB050000}"/>
    <cellStyle name="一般 29 4" xfId="1457" xr:uid="{00000000-0005-0000-0000-0000AC050000}"/>
    <cellStyle name="一般 290" xfId="1458" xr:uid="{00000000-0005-0000-0000-0000AD050000}"/>
    <cellStyle name="一般 290 2" xfId="1459" xr:uid="{00000000-0005-0000-0000-0000AE050000}"/>
    <cellStyle name="一般 290 2 2" xfId="1460" xr:uid="{00000000-0005-0000-0000-0000AF050000}"/>
    <cellStyle name="一般 290 3" xfId="1461" xr:uid="{00000000-0005-0000-0000-0000B0050000}"/>
    <cellStyle name="一般 291" xfId="1462" xr:uid="{00000000-0005-0000-0000-0000B1050000}"/>
    <cellStyle name="一般 291 2" xfId="1463" xr:uid="{00000000-0005-0000-0000-0000B2050000}"/>
    <cellStyle name="一般 291 2 2" xfId="1464" xr:uid="{00000000-0005-0000-0000-0000B3050000}"/>
    <cellStyle name="一般 291 3" xfId="1465" xr:uid="{00000000-0005-0000-0000-0000B4050000}"/>
    <cellStyle name="一般 292" xfId="1466" xr:uid="{00000000-0005-0000-0000-0000B5050000}"/>
    <cellStyle name="一般 292 2" xfId="1467" xr:uid="{00000000-0005-0000-0000-0000B6050000}"/>
    <cellStyle name="一般 292 2 2" xfId="1468" xr:uid="{00000000-0005-0000-0000-0000B7050000}"/>
    <cellStyle name="一般 292 3" xfId="1469" xr:uid="{00000000-0005-0000-0000-0000B8050000}"/>
    <cellStyle name="一般 293" xfId="1470" xr:uid="{00000000-0005-0000-0000-0000B9050000}"/>
    <cellStyle name="一般 293 2" xfId="1471" xr:uid="{00000000-0005-0000-0000-0000BA050000}"/>
    <cellStyle name="一般 293 2 2" xfId="1472" xr:uid="{00000000-0005-0000-0000-0000BB050000}"/>
    <cellStyle name="一般 293 3" xfId="1473" xr:uid="{00000000-0005-0000-0000-0000BC050000}"/>
    <cellStyle name="一般 294" xfId="1474" xr:uid="{00000000-0005-0000-0000-0000BD050000}"/>
    <cellStyle name="一般 294 2" xfId="1475" xr:uid="{00000000-0005-0000-0000-0000BE050000}"/>
    <cellStyle name="一般 294 2 2" xfId="1476" xr:uid="{00000000-0005-0000-0000-0000BF050000}"/>
    <cellStyle name="一般 294 3" xfId="1477" xr:uid="{00000000-0005-0000-0000-0000C0050000}"/>
    <cellStyle name="一般 295" xfId="1478" xr:uid="{00000000-0005-0000-0000-0000C1050000}"/>
    <cellStyle name="一般 295 2" xfId="1479" xr:uid="{00000000-0005-0000-0000-0000C2050000}"/>
    <cellStyle name="一般 295 2 2" xfId="1480" xr:uid="{00000000-0005-0000-0000-0000C3050000}"/>
    <cellStyle name="一般 295 3" xfId="1481" xr:uid="{00000000-0005-0000-0000-0000C4050000}"/>
    <cellStyle name="一般 296" xfId="1482" xr:uid="{00000000-0005-0000-0000-0000C5050000}"/>
    <cellStyle name="一般 296 2" xfId="1483" xr:uid="{00000000-0005-0000-0000-0000C6050000}"/>
    <cellStyle name="一般 296 2 2" xfId="1484" xr:uid="{00000000-0005-0000-0000-0000C7050000}"/>
    <cellStyle name="一般 296 3" xfId="1485" xr:uid="{00000000-0005-0000-0000-0000C8050000}"/>
    <cellStyle name="一般 297" xfId="1486" xr:uid="{00000000-0005-0000-0000-0000C9050000}"/>
    <cellStyle name="一般 297 2" xfId="1487" xr:uid="{00000000-0005-0000-0000-0000CA050000}"/>
    <cellStyle name="一般 297 2 2" xfId="1488" xr:uid="{00000000-0005-0000-0000-0000CB050000}"/>
    <cellStyle name="一般 297 3" xfId="1489" xr:uid="{00000000-0005-0000-0000-0000CC050000}"/>
    <cellStyle name="一般 298" xfId="1490" xr:uid="{00000000-0005-0000-0000-0000CD050000}"/>
    <cellStyle name="一般 298 2" xfId="1491" xr:uid="{00000000-0005-0000-0000-0000CE050000}"/>
    <cellStyle name="一般 298 2 2" xfId="1492" xr:uid="{00000000-0005-0000-0000-0000CF050000}"/>
    <cellStyle name="一般 298 3" xfId="1493" xr:uid="{00000000-0005-0000-0000-0000D0050000}"/>
    <cellStyle name="一般 299" xfId="6" xr:uid="{00000000-0005-0000-0000-0000D1050000}"/>
    <cellStyle name="一般 3" xfId="1494" xr:uid="{00000000-0005-0000-0000-0000D2050000}"/>
    <cellStyle name="一般 3 2" xfId="1495" xr:uid="{00000000-0005-0000-0000-0000D3050000}"/>
    <cellStyle name="一般 3 2 2" xfId="1496" xr:uid="{00000000-0005-0000-0000-0000D4050000}"/>
    <cellStyle name="一般 3 2 2 2" xfId="1497" xr:uid="{00000000-0005-0000-0000-0000D5050000}"/>
    <cellStyle name="一般 3 2 3" xfId="1498" xr:uid="{00000000-0005-0000-0000-0000D6050000}"/>
    <cellStyle name="一般 3 3" xfId="1499" xr:uid="{00000000-0005-0000-0000-0000D7050000}"/>
    <cellStyle name="一般 3 3 2" xfId="1500" xr:uid="{00000000-0005-0000-0000-0000D8050000}"/>
    <cellStyle name="一般 3 4" xfId="1501" xr:uid="{00000000-0005-0000-0000-0000D9050000}"/>
    <cellStyle name="一般 30" xfId="1502" xr:uid="{00000000-0005-0000-0000-0000DA050000}"/>
    <cellStyle name="一般 30 2" xfId="1503" xr:uid="{00000000-0005-0000-0000-0000DB050000}"/>
    <cellStyle name="一般 30 2 2" xfId="1504" xr:uid="{00000000-0005-0000-0000-0000DC050000}"/>
    <cellStyle name="一般 30 2 2 2" xfId="1505" xr:uid="{00000000-0005-0000-0000-0000DD050000}"/>
    <cellStyle name="一般 30 2 3" xfId="1506" xr:uid="{00000000-0005-0000-0000-0000DE050000}"/>
    <cellStyle name="一般 30 3" xfId="1507" xr:uid="{00000000-0005-0000-0000-0000DF050000}"/>
    <cellStyle name="一般 30 3 2" xfId="1508" xr:uid="{00000000-0005-0000-0000-0000E0050000}"/>
    <cellStyle name="一般 30 4" xfId="1509" xr:uid="{00000000-0005-0000-0000-0000E1050000}"/>
    <cellStyle name="一般 300" xfId="1510" xr:uid="{00000000-0005-0000-0000-0000E2050000}"/>
    <cellStyle name="一般 300 2" xfId="1511" xr:uid="{00000000-0005-0000-0000-0000E3050000}"/>
    <cellStyle name="一般 300 2 2" xfId="1512" xr:uid="{00000000-0005-0000-0000-0000E4050000}"/>
    <cellStyle name="一般 300 3" xfId="1513" xr:uid="{00000000-0005-0000-0000-0000E5050000}"/>
    <cellStyle name="一般 301" xfId="1514" xr:uid="{00000000-0005-0000-0000-0000E6050000}"/>
    <cellStyle name="一般 301 2" xfId="1515" xr:uid="{00000000-0005-0000-0000-0000E7050000}"/>
    <cellStyle name="一般 301 2 2" xfId="1516" xr:uid="{00000000-0005-0000-0000-0000E8050000}"/>
    <cellStyle name="一般 301 3" xfId="1517" xr:uid="{00000000-0005-0000-0000-0000E9050000}"/>
    <cellStyle name="一般 302" xfId="1518" xr:uid="{00000000-0005-0000-0000-0000EA050000}"/>
    <cellStyle name="一般 302 2" xfId="1519" xr:uid="{00000000-0005-0000-0000-0000EB050000}"/>
    <cellStyle name="一般 302 2 2" xfId="1520" xr:uid="{00000000-0005-0000-0000-0000EC050000}"/>
    <cellStyle name="一般 302 3" xfId="1521" xr:uid="{00000000-0005-0000-0000-0000ED050000}"/>
    <cellStyle name="一般 303" xfId="1522" xr:uid="{00000000-0005-0000-0000-0000EE050000}"/>
    <cellStyle name="一般 303 2" xfId="1523" xr:uid="{00000000-0005-0000-0000-0000EF050000}"/>
    <cellStyle name="一般 303 2 2" xfId="1524" xr:uid="{00000000-0005-0000-0000-0000F0050000}"/>
    <cellStyle name="一般 303 3" xfId="1525" xr:uid="{00000000-0005-0000-0000-0000F1050000}"/>
    <cellStyle name="一般 304" xfId="1526" xr:uid="{00000000-0005-0000-0000-0000F2050000}"/>
    <cellStyle name="一般 304 2" xfId="1527" xr:uid="{00000000-0005-0000-0000-0000F3050000}"/>
    <cellStyle name="一般 304 2 2" xfId="1528" xr:uid="{00000000-0005-0000-0000-0000F4050000}"/>
    <cellStyle name="一般 304 3" xfId="1529" xr:uid="{00000000-0005-0000-0000-0000F5050000}"/>
    <cellStyle name="一般 305" xfId="1530" xr:uid="{00000000-0005-0000-0000-0000F6050000}"/>
    <cellStyle name="一般 305 2" xfId="1531" xr:uid="{00000000-0005-0000-0000-0000F7050000}"/>
    <cellStyle name="一般 305 2 2" xfId="1532" xr:uid="{00000000-0005-0000-0000-0000F8050000}"/>
    <cellStyle name="一般 305 3" xfId="1533" xr:uid="{00000000-0005-0000-0000-0000F9050000}"/>
    <cellStyle name="一般 306" xfId="1534" xr:uid="{00000000-0005-0000-0000-0000FA050000}"/>
    <cellStyle name="一般 306 2" xfId="1535" xr:uid="{00000000-0005-0000-0000-0000FB050000}"/>
    <cellStyle name="一般 306 2 2" xfId="1536" xr:uid="{00000000-0005-0000-0000-0000FC050000}"/>
    <cellStyle name="一般 306 3" xfId="1537" xr:uid="{00000000-0005-0000-0000-0000FD050000}"/>
    <cellStyle name="一般 307" xfId="1538" xr:uid="{00000000-0005-0000-0000-0000FE050000}"/>
    <cellStyle name="一般 307 2" xfId="1539" xr:uid="{00000000-0005-0000-0000-0000FF050000}"/>
    <cellStyle name="一般 307 2 2" xfId="1540" xr:uid="{00000000-0005-0000-0000-000000060000}"/>
    <cellStyle name="一般 307 3" xfId="1541" xr:uid="{00000000-0005-0000-0000-000001060000}"/>
    <cellStyle name="一般 308" xfId="1542" xr:uid="{00000000-0005-0000-0000-000002060000}"/>
    <cellStyle name="一般 308 2" xfId="1543" xr:uid="{00000000-0005-0000-0000-000003060000}"/>
    <cellStyle name="一般 308 2 2" xfId="1544" xr:uid="{00000000-0005-0000-0000-000004060000}"/>
    <cellStyle name="一般 308 3" xfId="1545" xr:uid="{00000000-0005-0000-0000-000005060000}"/>
    <cellStyle name="一般 309" xfId="1546" xr:uid="{00000000-0005-0000-0000-000006060000}"/>
    <cellStyle name="一般 309 2" xfId="1547" xr:uid="{00000000-0005-0000-0000-000007060000}"/>
    <cellStyle name="一般 309 2 2" xfId="1548" xr:uid="{00000000-0005-0000-0000-000008060000}"/>
    <cellStyle name="一般 309 3" xfId="1549" xr:uid="{00000000-0005-0000-0000-000009060000}"/>
    <cellStyle name="一般 31" xfId="1550" xr:uid="{00000000-0005-0000-0000-00000A060000}"/>
    <cellStyle name="一般 31 2" xfId="1551" xr:uid="{00000000-0005-0000-0000-00000B060000}"/>
    <cellStyle name="一般 31 2 2" xfId="1552" xr:uid="{00000000-0005-0000-0000-00000C060000}"/>
    <cellStyle name="一般 31 2 2 2" xfId="1553" xr:uid="{00000000-0005-0000-0000-00000D060000}"/>
    <cellStyle name="一般 31 2 3" xfId="1554" xr:uid="{00000000-0005-0000-0000-00000E060000}"/>
    <cellStyle name="一般 31 3" xfId="1555" xr:uid="{00000000-0005-0000-0000-00000F060000}"/>
    <cellStyle name="一般 31 3 2" xfId="1556" xr:uid="{00000000-0005-0000-0000-000010060000}"/>
    <cellStyle name="一般 31 4" xfId="1557" xr:uid="{00000000-0005-0000-0000-000011060000}"/>
    <cellStyle name="一般 310" xfId="1558" xr:uid="{00000000-0005-0000-0000-000012060000}"/>
    <cellStyle name="一般 310 2" xfId="1559" xr:uid="{00000000-0005-0000-0000-000013060000}"/>
    <cellStyle name="一般 310 2 2" xfId="1560" xr:uid="{00000000-0005-0000-0000-000014060000}"/>
    <cellStyle name="一般 310 3" xfId="1561" xr:uid="{00000000-0005-0000-0000-000015060000}"/>
    <cellStyle name="一般 311" xfId="1562" xr:uid="{00000000-0005-0000-0000-000016060000}"/>
    <cellStyle name="一般 311 2" xfId="1563" xr:uid="{00000000-0005-0000-0000-000017060000}"/>
    <cellStyle name="一般 311 2 2" xfId="1564" xr:uid="{00000000-0005-0000-0000-000018060000}"/>
    <cellStyle name="一般 311 3" xfId="1565" xr:uid="{00000000-0005-0000-0000-000019060000}"/>
    <cellStyle name="一般 312" xfId="1566" xr:uid="{00000000-0005-0000-0000-00001A060000}"/>
    <cellStyle name="一般 312 2" xfId="1567" xr:uid="{00000000-0005-0000-0000-00001B060000}"/>
    <cellStyle name="一般 312 2 2" xfId="1568" xr:uid="{00000000-0005-0000-0000-00001C060000}"/>
    <cellStyle name="一般 312 3" xfId="1569" xr:uid="{00000000-0005-0000-0000-00001D060000}"/>
    <cellStyle name="一般 313" xfId="1570" xr:uid="{00000000-0005-0000-0000-00001E060000}"/>
    <cellStyle name="一般 313 2" xfId="1571" xr:uid="{00000000-0005-0000-0000-00001F060000}"/>
    <cellStyle name="一般 313 2 2" xfId="1572" xr:uid="{00000000-0005-0000-0000-000020060000}"/>
    <cellStyle name="一般 313 3" xfId="1573" xr:uid="{00000000-0005-0000-0000-000021060000}"/>
    <cellStyle name="一般 314" xfId="1574" xr:uid="{00000000-0005-0000-0000-000022060000}"/>
    <cellStyle name="一般 314 2" xfId="1575" xr:uid="{00000000-0005-0000-0000-000023060000}"/>
    <cellStyle name="一般 314 2 2" xfId="1576" xr:uid="{00000000-0005-0000-0000-000024060000}"/>
    <cellStyle name="一般 314 3" xfId="1577" xr:uid="{00000000-0005-0000-0000-000025060000}"/>
    <cellStyle name="一般 315" xfId="1578" xr:uid="{00000000-0005-0000-0000-000026060000}"/>
    <cellStyle name="一般 315 2" xfId="1579" xr:uid="{00000000-0005-0000-0000-000027060000}"/>
    <cellStyle name="一般 315 2 2" xfId="1580" xr:uid="{00000000-0005-0000-0000-000028060000}"/>
    <cellStyle name="一般 315 3" xfId="1581" xr:uid="{00000000-0005-0000-0000-000029060000}"/>
    <cellStyle name="一般 316" xfId="1582" xr:uid="{00000000-0005-0000-0000-00002A060000}"/>
    <cellStyle name="一般 316 2" xfId="1583" xr:uid="{00000000-0005-0000-0000-00002B060000}"/>
    <cellStyle name="一般 316 2 2" xfId="1584" xr:uid="{00000000-0005-0000-0000-00002C060000}"/>
    <cellStyle name="一般 316 3" xfId="1585" xr:uid="{00000000-0005-0000-0000-00002D060000}"/>
    <cellStyle name="一般 317" xfId="1586" xr:uid="{00000000-0005-0000-0000-00002E060000}"/>
    <cellStyle name="一般 317 2" xfId="1587" xr:uid="{00000000-0005-0000-0000-00002F060000}"/>
    <cellStyle name="一般 317 2 2" xfId="1588" xr:uid="{00000000-0005-0000-0000-000030060000}"/>
    <cellStyle name="一般 317 3" xfId="1589" xr:uid="{00000000-0005-0000-0000-000031060000}"/>
    <cellStyle name="一般 318" xfId="1590" xr:uid="{00000000-0005-0000-0000-000032060000}"/>
    <cellStyle name="一般 318 2" xfId="1591" xr:uid="{00000000-0005-0000-0000-000033060000}"/>
    <cellStyle name="一般 318 2 2" xfId="1592" xr:uid="{00000000-0005-0000-0000-000034060000}"/>
    <cellStyle name="一般 318 3" xfId="1593" xr:uid="{00000000-0005-0000-0000-000035060000}"/>
    <cellStyle name="一般 319" xfId="1594" xr:uid="{00000000-0005-0000-0000-000036060000}"/>
    <cellStyle name="一般 319 2" xfId="1595" xr:uid="{00000000-0005-0000-0000-000037060000}"/>
    <cellStyle name="一般 319 2 2" xfId="1596" xr:uid="{00000000-0005-0000-0000-000038060000}"/>
    <cellStyle name="一般 319 3" xfId="1597" xr:uid="{00000000-0005-0000-0000-000039060000}"/>
    <cellStyle name="一般 32" xfId="1598" xr:uid="{00000000-0005-0000-0000-00003A060000}"/>
    <cellStyle name="一般 32 2" xfId="1599" xr:uid="{00000000-0005-0000-0000-00003B060000}"/>
    <cellStyle name="一般 32 2 2" xfId="1600" xr:uid="{00000000-0005-0000-0000-00003C060000}"/>
    <cellStyle name="一般 32 2 2 2" xfId="1601" xr:uid="{00000000-0005-0000-0000-00003D060000}"/>
    <cellStyle name="一般 32 2 3" xfId="1602" xr:uid="{00000000-0005-0000-0000-00003E060000}"/>
    <cellStyle name="一般 32 3" xfId="1603" xr:uid="{00000000-0005-0000-0000-00003F060000}"/>
    <cellStyle name="一般 32 3 2" xfId="1604" xr:uid="{00000000-0005-0000-0000-000040060000}"/>
    <cellStyle name="一般 32 4" xfId="1605" xr:uid="{00000000-0005-0000-0000-000041060000}"/>
    <cellStyle name="一般 320" xfId="1606" xr:uid="{00000000-0005-0000-0000-000042060000}"/>
    <cellStyle name="一般 320 2" xfId="1607" xr:uid="{00000000-0005-0000-0000-000043060000}"/>
    <cellStyle name="一般 320 2 2" xfId="1608" xr:uid="{00000000-0005-0000-0000-000044060000}"/>
    <cellStyle name="一般 320 3" xfId="1609" xr:uid="{00000000-0005-0000-0000-000045060000}"/>
    <cellStyle name="一般 321" xfId="1610" xr:uid="{00000000-0005-0000-0000-000046060000}"/>
    <cellStyle name="一般 321 2" xfId="1611" xr:uid="{00000000-0005-0000-0000-000047060000}"/>
    <cellStyle name="一般 321 2 2" xfId="1612" xr:uid="{00000000-0005-0000-0000-000048060000}"/>
    <cellStyle name="一般 321 3" xfId="1613" xr:uid="{00000000-0005-0000-0000-000049060000}"/>
    <cellStyle name="一般 322" xfId="1614" xr:uid="{00000000-0005-0000-0000-00004A060000}"/>
    <cellStyle name="一般 322 2" xfId="1615" xr:uid="{00000000-0005-0000-0000-00004B060000}"/>
    <cellStyle name="一般 322 2 2" xfId="1616" xr:uid="{00000000-0005-0000-0000-00004C060000}"/>
    <cellStyle name="一般 322 3" xfId="1617" xr:uid="{00000000-0005-0000-0000-00004D060000}"/>
    <cellStyle name="一般 323" xfId="1618" xr:uid="{00000000-0005-0000-0000-00004E060000}"/>
    <cellStyle name="一般 323 2" xfId="1619" xr:uid="{00000000-0005-0000-0000-00004F060000}"/>
    <cellStyle name="一般 323 2 2" xfId="1620" xr:uid="{00000000-0005-0000-0000-000050060000}"/>
    <cellStyle name="一般 323 3" xfId="1621" xr:uid="{00000000-0005-0000-0000-000051060000}"/>
    <cellStyle name="一般 324" xfId="1622" xr:uid="{00000000-0005-0000-0000-000052060000}"/>
    <cellStyle name="一般 324 2" xfId="1623" xr:uid="{00000000-0005-0000-0000-000053060000}"/>
    <cellStyle name="一般 324 2 2" xfId="1624" xr:uid="{00000000-0005-0000-0000-000054060000}"/>
    <cellStyle name="一般 324 3" xfId="1625" xr:uid="{00000000-0005-0000-0000-000055060000}"/>
    <cellStyle name="一般 325" xfId="1626" xr:uid="{00000000-0005-0000-0000-000056060000}"/>
    <cellStyle name="一般 325 2" xfId="1627" xr:uid="{00000000-0005-0000-0000-000057060000}"/>
    <cellStyle name="一般 325 2 2" xfId="1628" xr:uid="{00000000-0005-0000-0000-000058060000}"/>
    <cellStyle name="一般 325 3" xfId="1629" xr:uid="{00000000-0005-0000-0000-000059060000}"/>
    <cellStyle name="一般 326" xfId="1630" xr:uid="{00000000-0005-0000-0000-00005A060000}"/>
    <cellStyle name="一般 326 2" xfId="1631" xr:uid="{00000000-0005-0000-0000-00005B060000}"/>
    <cellStyle name="一般 326 2 2" xfId="1632" xr:uid="{00000000-0005-0000-0000-00005C060000}"/>
    <cellStyle name="一般 326 3" xfId="1633" xr:uid="{00000000-0005-0000-0000-00005D060000}"/>
    <cellStyle name="一般 327" xfId="1634" xr:uid="{00000000-0005-0000-0000-00005E060000}"/>
    <cellStyle name="一般 327 2" xfId="1635" xr:uid="{00000000-0005-0000-0000-00005F060000}"/>
    <cellStyle name="一般 327 2 2" xfId="1636" xr:uid="{00000000-0005-0000-0000-000060060000}"/>
    <cellStyle name="一般 327 3" xfId="1637" xr:uid="{00000000-0005-0000-0000-000061060000}"/>
    <cellStyle name="一般 328" xfId="1638" xr:uid="{00000000-0005-0000-0000-000062060000}"/>
    <cellStyle name="一般 328 2" xfId="1639" xr:uid="{00000000-0005-0000-0000-000063060000}"/>
    <cellStyle name="一般 328 2 2" xfId="1640" xr:uid="{00000000-0005-0000-0000-000064060000}"/>
    <cellStyle name="一般 328 3" xfId="1641" xr:uid="{00000000-0005-0000-0000-000065060000}"/>
    <cellStyle name="一般 329" xfId="1642" xr:uid="{00000000-0005-0000-0000-000066060000}"/>
    <cellStyle name="一般 329 2" xfId="1643" xr:uid="{00000000-0005-0000-0000-000067060000}"/>
    <cellStyle name="一般 329 2 2" xfId="1644" xr:uid="{00000000-0005-0000-0000-000068060000}"/>
    <cellStyle name="一般 329 3" xfId="1645" xr:uid="{00000000-0005-0000-0000-000069060000}"/>
    <cellStyle name="一般 33" xfId="1646" xr:uid="{00000000-0005-0000-0000-00006A060000}"/>
    <cellStyle name="一般 33 2" xfId="1647" xr:uid="{00000000-0005-0000-0000-00006B060000}"/>
    <cellStyle name="一般 33 2 2" xfId="1648" xr:uid="{00000000-0005-0000-0000-00006C060000}"/>
    <cellStyle name="一般 33 2 2 2" xfId="1649" xr:uid="{00000000-0005-0000-0000-00006D060000}"/>
    <cellStyle name="一般 33 2 3" xfId="1650" xr:uid="{00000000-0005-0000-0000-00006E060000}"/>
    <cellStyle name="一般 33 3" xfId="1651" xr:uid="{00000000-0005-0000-0000-00006F060000}"/>
    <cellStyle name="一般 33 3 2" xfId="1652" xr:uid="{00000000-0005-0000-0000-000070060000}"/>
    <cellStyle name="一般 33 4" xfId="1653" xr:uid="{00000000-0005-0000-0000-000071060000}"/>
    <cellStyle name="一般 330" xfId="1654" xr:uid="{00000000-0005-0000-0000-000072060000}"/>
    <cellStyle name="一般 330 2" xfId="1655" xr:uid="{00000000-0005-0000-0000-000073060000}"/>
    <cellStyle name="一般 330 2 2" xfId="1656" xr:uid="{00000000-0005-0000-0000-000074060000}"/>
    <cellStyle name="一般 330 3" xfId="1657" xr:uid="{00000000-0005-0000-0000-000075060000}"/>
    <cellStyle name="一般 331" xfId="1658" xr:uid="{00000000-0005-0000-0000-000076060000}"/>
    <cellStyle name="一般 331 2" xfId="1659" xr:uid="{00000000-0005-0000-0000-000077060000}"/>
    <cellStyle name="一般 331 2 2" xfId="1660" xr:uid="{00000000-0005-0000-0000-000078060000}"/>
    <cellStyle name="一般 331 3" xfId="1661" xr:uid="{00000000-0005-0000-0000-000079060000}"/>
    <cellStyle name="一般 332" xfId="1662" xr:uid="{00000000-0005-0000-0000-00007A060000}"/>
    <cellStyle name="一般 332 2" xfId="1663" xr:uid="{00000000-0005-0000-0000-00007B060000}"/>
    <cellStyle name="一般 332 2 2" xfId="1664" xr:uid="{00000000-0005-0000-0000-00007C060000}"/>
    <cellStyle name="一般 332 3" xfId="1665" xr:uid="{00000000-0005-0000-0000-00007D060000}"/>
    <cellStyle name="一般 333" xfId="1666" xr:uid="{00000000-0005-0000-0000-00007E060000}"/>
    <cellStyle name="一般 333 2" xfId="1667" xr:uid="{00000000-0005-0000-0000-00007F060000}"/>
    <cellStyle name="一般 333 2 2" xfId="1668" xr:uid="{00000000-0005-0000-0000-000080060000}"/>
    <cellStyle name="一般 333 3" xfId="1669" xr:uid="{00000000-0005-0000-0000-000081060000}"/>
    <cellStyle name="一般 334" xfId="1670" xr:uid="{00000000-0005-0000-0000-000082060000}"/>
    <cellStyle name="一般 334 2" xfId="1671" xr:uid="{00000000-0005-0000-0000-000083060000}"/>
    <cellStyle name="一般 334 2 2" xfId="1672" xr:uid="{00000000-0005-0000-0000-000084060000}"/>
    <cellStyle name="一般 334 3" xfId="1673" xr:uid="{00000000-0005-0000-0000-000085060000}"/>
    <cellStyle name="一般 335" xfId="1674" xr:uid="{00000000-0005-0000-0000-000086060000}"/>
    <cellStyle name="一般 335 2" xfId="1675" xr:uid="{00000000-0005-0000-0000-000087060000}"/>
    <cellStyle name="一般 335 2 2" xfId="1676" xr:uid="{00000000-0005-0000-0000-000088060000}"/>
    <cellStyle name="一般 335 3" xfId="1677" xr:uid="{00000000-0005-0000-0000-000089060000}"/>
    <cellStyle name="一般 336" xfId="1678" xr:uid="{00000000-0005-0000-0000-00008A060000}"/>
    <cellStyle name="一般 336 2" xfId="1679" xr:uid="{00000000-0005-0000-0000-00008B060000}"/>
    <cellStyle name="一般 336 2 2" xfId="1680" xr:uid="{00000000-0005-0000-0000-00008C060000}"/>
    <cellStyle name="一般 336 3" xfId="1681" xr:uid="{00000000-0005-0000-0000-00008D060000}"/>
    <cellStyle name="一般 337" xfId="1682" xr:uid="{00000000-0005-0000-0000-00008E060000}"/>
    <cellStyle name="一般 337 2" xfId="1683" xr:uid="{00000000-0005-0000-0000-00008F060000}"/>
    <cellStyle name="一般 337 2 2" xfId="1684" xr:uid="{00000000-0005-0000-0000-000090060000}"/>
    <cellStyle name="一般 337 3" xfId="1685" xr:uid="{00000000-0005-0000-0000-000091060000}"/>
    <cellStyle name="一般 338" xfId="1686" xr:uid="{00000000-0005-0000-0000-000092060000}"/>
    <cellStyle name="一般 338 2" xfId="1687" xr:uid="{00000000-0005-0000-0000-000093060000}"/>
    <cellStyle name="一般 338 2 2" xfId="1688" xr:uid="{00000000-0005-0000-0000-000094060000}"/>
    <cellStyle name="一般 338 3" xfId="1689" xr:uid="{00000000-0005-0000-0000-000095060000}"/>
    <cellStyle name="一般 339" xfId="1690" xr:uid="{00000000-0005-0000-0000-000096060000}"/>
    <cellStyle name="一般 339 2" xfId="1691" xr:uid="{00000000-0005-0000-0000-000097060000}"/>
    <cellStyle name="一般 339 2 2" xfId="1692" xr:uid="{00000000-0005-0000-0000-000098060000}"/>
    <cellStyle name="一般 339 3" xfId="1693" xr:uid="{00000000-0005-0000-0000-000099060000}"/>
    <cellStyle name="一般 34" xfId="1694" xr:uid="{00000000-0005-0000-0000-00009A060000}"/>
    <cellStyle name="一般 34 2" xfId="1695" xr:uid="{00000000-0005-0000-0000-00009B060000}"/>
    <cellStyle name="一般 34 2 2" xfId="1696" xr:uid="{00000000-0005-0000-0000-00009C060000}"/>
    <cellStyle name="一般 34 2 2 2" xfId="1697" xr:uid="{00000000-0005-0000-0000-00009D060000}"/>
    <cellStyle name="一般 34 2 3" xfId="1698" xr:uid="{00000000-0005-0000-0000-00009E060000}"/>
    <cellStyle name="一般 34 3" xfId="1699" xr:uid="{00000000-0005-0000-0000-00009F060000}"/>
    <cellStyle name="一般 34 3 2" xfId="1700" xr:uid="{00000000-0005-0000-0000-0000A0060000}"/>
    <cellStyle name="一般 34 4" xfId="1701" xr:uid="{00000000-0005-0000-0000-0000A1060000}"/>
    <cellStyle name="一般 340" xfId="1702" xr:uid="{00000000-0005-0000-0000-0000A2060000}"/>
    <cellStyle name="一般 340 2" xfId="1703" xr:uid="{00000000-0005-0000-0000-0000A3060000}"/>
    <cellStyle name="一般 340 2 2" xfId="1704" xr:uid="{00000000-0005-0000-0000-0000A4060000}"/>
    <cellStyle name="一般 340 3" xfId="1705" xr:uid="{00000000-0005-0000-0000-0000A5060000}"/>
    <cellStyle name="一般 341" xfId="1706" xr:uid="{00000000-0005-0000-0000-0000A6060000}"/>
    <cellStyle name="一般 341 2" xfId="1707" xr:uid="{00000000-0005-0000-0000-0000A7060000}"/>
    <cellStyle name="一般 341 2 2" xfId="1708" xr:uid="{00000000-0005-0000-0000-0000A8060000}"/>
    <cellStyle name="一般 341 3" xfId="1709" xr:uid="{00000000-0005-0000-0000-0000A9060000}"/>
    <cellStyle name="一般 342" xfId="1710" xr:uid="{00000000-0005-0000-0000-0000AA060000}"/>
    <cellStyle name="一般 342 2" xfId="1711" xr:uid="{00000000-0005-0000-0000-0000AB060000}"/>
    <cellStyle name="一般 342 2 2" xfId="1712" xr:uid="{00000000-0005-0000-0000-0000AC060000}"/>
    <cellStyle name="一般 342 3" xfId="1713" xr:uid="{00000000-0005-0000-0000-0000AD060000}"/>
    <cellStyle name="一般 343" xfId="1714" xr:uid="{00000000-0005-0000-0000-0000AE060000}"/>
    <cellStyle name="一般 343 2" xfId="1715" xr:uid="{00000000-0005-0000-0000-0000AF060000}"/>
    <cellStyle name="一般 343 2 2" xfId="1716" xr:uid="{00000000-0005-0000-0000-0000B0060000}"/>
    <cellStyle name="一般 343 3" xfId="1717" xr:uid="{00000000-0005-0000-0000-0000B1060000}"/>
    <cellStyle name="一般 344" xfId="1718" xr:uid="{00000000-0005-0000-0000-0000B2060000}"/>
    <cellStyle name="一般 344 2" xfId="1719" xr:uid="{00000000-0005-0000-0000-0000B3060000}"/>
    <cellStyle name="一般 344 2 2" xfId="1720" xr:uid="{00000000-0005-0000-0000-0000B4060000}"/>
    <cellStyle name="一般 344 3" xfId="1721" xr:uid="{00000000-0005-0000-0000-0000B5060000}"/>
    <cellStyle name="一般 345" xfId="1722" xr:uid="{00000000-0005-0000-0000-0000B6060000}"/>
    <cellStyle name="一般 345 2" xfId="1723" xr:uid="{00000000-0005-0000-0000-0000B7060000}"/>
    <cellStyle name="一般 345 2 2" xfId="1724" xr:uid="{00000000-0005-0000-0000-0000B8060000}"/>
    <cellStyle name="一般 345 3" xfId="1725" xr:uid="{00000000-0005-0000-0000-0000B9060000}"/>
    <cellStyle name="一般 346" xfId="1726" xr:uid="{00000000-0005-0000-0000-0000BA060000}"/>
    <cellStyle name="一般 346 2" xfId="1727" xr:uid="{00000000-0005-0000-0000-0000BB060000}"/>
    <cellStyle name="一般 346 2 2" xfId="1728" xr:uid="{00000000-0005-0000-0000-0000BC060000}"/>
    <cellStyle name="一般 346 3" xfId="1729" xr:uid="{00000000-0005-0000-0000-0000BD060000}"/>
    <cellStyle name="一般 347" xfId="1730" xr:uid="{00000000-0005-0000-0000-0000BE060000}"/>
    <cellStyle name="一般 347 2" xfId="1731" xr:uid="{00000000-0005-0000-0000-0000BF060000}"/>
    <cellStyle name="一般 347 2 2" xfId="1732" xr:uid="{00000000-0005-0000-0000-0000C0060000}"/>
    <cellStyle name="一般 347 3" xfId="1733" xr:uid="{00000000-0005-0000-0000-0000C1060000}"/>
    <cellStyle name="一般 348" xfId="1734" xr:uid="{00000000-0005-0000-0000-0000C2060000}"/>
    <cellStyle name="一般 348 2" xfId="1735" xr:uid="{00000000-0005-0000-0000-0000C3060000}"/>
    <cellStyle name="一般 348 2 2" xfId="1736" xr:uid="{00000000-0005-0000-0000-0000C4060000}"/>
    <cellStyle name="一般 348 3" xfId="1737" xr:uid="{00000000-0005-0000-0000-0000C5060000}"/>
    <cellStyle name="一般 349" xfId="1738" xr:uid="{00000000-0005-0000-0000-0000C6060000}"/>
    <cellStyle name="一般 349 2" xfId="1739" xr:uid="{00000000-0005-0000-0000-0000C7060000}"/>
    <cellStyle name="一般 349 2 2" xfId="1740" xr:uid="{00000000-0005-0000-0000-0000C8060000}"/>
    <cellStyle name="一般 349 3" xfId="1741" xr:uid="{00000000-0005-0000-0000-0000C9060000}"/>
    <cellStyle name="一般 35" xfId="1742" xr:uid="{00000000-0005-0000-0000-0000CA060000}"/>
    <cellStyle name="一般 35 2" xfId="1743" xr:uid="{00000000-0005-0000-0000-0000CB060000}"/>
    <cellStyle name="一般 35 2 2" xfId="1744" xr:uid="{00000000-0005-0000-0000-0000CC060000}"/>
    <cellStyle name="一般 35 2 2 2" xfId="1745" xr:uid="{00000000-0005-0000-0000-0000CD060000}"/>
    <cellStyle name="一般 35 2 3" xfId="1746" xr:uid="{00000000-0005-0000-0000-0000CE060000}"/>
    <cellStyle name="一般 35 3" xfId="1747" xr:uid="{00000000-0005-0000-0000-0000CF060000}"/>
    <cellStyle name="一般 35 3 2" xfId="1748" xr:uid="{00000000-0005-0000-0000-0000D0060000}"/>
    <cellStyle name="一般 35 4" xfId="1749" xr:uid="{00000000-0005-0000-0000-0000D1060000}"/>
    <cellStyle name="一般 350" xfId="1750" xr:uid="{00000000-0005-0000-0000-0000D2060000}"/>
    <cellStyle name="一般 350 2" xfId="1751" xr:uid="{00000000-0005-0000-0000-0000D3060000}"/>
    <cellStyle name="一般 350 2 2" xfId="1752" xr:uid="{00000000-0005-0000-0000-0000D4060000}"/>
    <cellStyle name="一般 350 3" xfId="1753" xr:uid="{00000000-0005-0000-0000-0000D5060000}"/>
    <cellStyle name="一般 351" xfId="1754" xr:uid="{00000000-0005-0000-0000-0000D6060000}"/>
    <cellStyle name="一般 351 2" xfId="1755" xr:uid="{00000000-0005-0000-0000-0000D7060000}"/>
    <cellStyle name="一般 351 2 2" xfId="1756" xr:uid="{00000000-0005-0000-0000-0000D8060000}"/>
    <cellStyle name="一般 351 3" xfId="1757" xr:uid="{00000000-0005-0000-0000-0000D9060000}"/>
    <cellStyle name="一般 352" xfId="1758" xr:uid="{00000000-0005-0000-0000-0000DA060000}"/>
    <cellStyle name="一般 352 2" xfId="1759" xr:uid="{00000000-0005-0000-0000-0000DB060000}"/>
    <cellStyle name="一般 352 2 2" xfId="1760" xr:uid="{00000000-0005-0000-0000-0000DC060000}"/>
    <cellStyle name="一般 352 3" xfId="1761" xr:uid="{00000000-0005-0000-0000-0000DD060000}"/>
    <cellStyle name="一般 353" xfId="1762" xr:uid="{00000000-0005-0000-0000-0000DE060000}"/>
    <cellStyle name="一般 353 2" xfId="1763" xr:uid="{00000000-0005-0000-0000-0000DF060000}"/>
    <cellStyle name="一般 353 2 2" xfId="1764" xr:uid="{00000000-0005-0000-0000-0000E0060000}"/>
    <cellStyle name="一般 353 3" xfId="1765" xr:uid="{00000000-0005-0000-0000-0000E1060000}"/>
    <cellStyle name="一般 354" xfId="1766" xr:uid="{00000000-0005-0000-0000-0000E2060000}"/>
    <cellStyle name="一般 354 2" xfId="1767" xr:uid="{00000000-0005-0000-0000-0000E3060000}"/>
    <cellStyle name="一般 354 2 2" xfId="1768" xr:uid="{00000000-0005-0000-0000-0000E4060000}"/>
    <cellStyle name="一般 354 3" xfId="1769" xr:uid="{00000000-0005-0000-0000-0000E5060000}"/>
    <cellStyle name="一般 355" xfId="1770" xr:uid="{00000000-0005-0000-0000-0000E6060000}"/>
    <cellStyle name="一般 355 2" xfId="1771" xr:uid="{00000000-0005-0000-0000-0000E7060000}"/>
    <cellStyle name="一般 355 2 2" xfId="1772" xr:uid="{00000000-0005-0000-0000-0000E8060000}"/>
    <cellStyle name="一般 355 3" xfId="1773" xr:uid="{00000000-0005-0000-0000-0000E9060000}"/>
    <cellStyle name="一般 356" xfId="1774" xr:uid="{00000000-0005-0000-0000-0000EA060000}"/>
    <cellStyle name="一般 356 2" xfId="1775" xr:uid="{00000000-0005-0000-0000-0000EB060000}"/>
    <cellStyle name="一般 356 2 2" xfId="1776" xr:uid="{00000000-0005-0000-0000-0000EC060000}"/>
    <cellStyle name="一般 356 3" xfId="1777" xr:uid="{00000000-0005-0000-0000-0000ED060000}"/>
    <cellStyle name="一般 357" xfId="1778" xr:uid="{00000000-0005-0000-0000-0000EE060000}"/>
    <cellStyle name="一般 357 2" xfId="1779" xr:uid="{00000000-0005-0000-0000-0000EF060000}"/>
    <cellStyle name="一般 357 2 2" xfId="1780" xr:uid="{00000000-0005-0000-0000-0000F0060000}"/>
    <cellStyle name="一般 357 3" xfId="1781" xr:uid="{00000000-0005-0000-0000-0000F1060000}"/>
    <cellStyle name="一般 358" xfId="1782" xr:uid="{00000000-0005-0000-0000-0000F2060000}"/>
    <cellStyle name="一般 358 2" xfId="1783" xr:uid="{00000000-0005-0000-0000-0000F3060000}"/>
    <cellStyle name="一般 358 2 2" xfId="1784" xr:uid="{00000000-0005-0000-0000-0000F4060000}"/>
    <cellStyle name="一般 358 3" xfId="1785" xr:uid="{00000000-0005-0000-0000-0000F5060000}"/>
    <cellStyle name="一般 359" xfId="1786" xr:uid="{00000000-0005-0000-0000-0000F6060000}"/>
    <cellStyle name="一般 359 2" xfId="1787" xr:uid="{00000000-0005-0000-0000-0000F7060000}"/>
    <cellStyle name="一般 359 2 2" xfId="1788" xr:uid="{00000000-0005-0000-0000-0000F8060000}"/>
    <cellStyle name="一般 359 3" xfId="1789" xr:uid="{00000000-0005-0000-0000-0000F9060000}"/>
    <cellStyle name="一般 36" xfId="1790" xr:uid="{00000000-0005-0000-0000-0000FA060000}"/>
    <cellStyle name="一般 36 2" xfId="1791" xr:uid="{00000000-0005-0000-0000-0000FB060000}"/>
    <cellStyle name="一般 36 2 2" xfId="1792" xr:uid="{00000000-0005-0000-0000-0000FC060000}"/>
    <cellStyle name="一般 36 2 2 2" xfId="1793" xr:uid="{00000000-0005-0000-0000-0000FD060000}"/>
    <cellStyle name="一般 36 2 3" xfId="1794" xr:uid="{00000000-0005-0000-0000-0000FE060000}"/>
    <cellStyle name="一般 36 3" xfId="1795" xr:uid="{00000000-0005-0000-0000-0000FF060000}"/>
    <cellStyle name="一般 36 3 2" xfId="1796" xr:uid="{00000000-0005-0000-0000-000000070000}"/>
    <cellStyle name="一般 36 4" xfId="1797" xr:uid="{00000000-0005-0000-0000-000001070000}"/>
    <cellStyle name="一般 360" xfId="1798" xr:uid="{00000000-0005-0000-0000-000002070000}"/>
    <cellStyle name="一般 360 2" xfId="1799" xr:uid="{00000000-0005-0000-0000-000003070000}"/>
    <cellStyle name="一般 360 2 2" xfId="1800" xr:uid="{00000000-0005-0000-0000-000004070000}"/>
    <cellStyle name="一般 360 3" xfId="1801" xr:uid="{00000000-0005-0000-0000-000005070000}"/>
    <cellStyle name="一般 361" xfId="1802" xr:uid="{00000000-0005-0000-0000-000006070000}"/>
    <cellStyle name="一般 361 2" xfId="1803" xr:uid="{00000000-0005-0000-0000-000007070000}"/>
    <cellStyle name="一般 361 2 2" xfId="1804" xr:uid="{00000000-0005-0000-0000-000008070000}"/>
    <cellStyle name="一般 361 3" xfId="1805" xr:uid="{00000000-0005-0000-0000-000009070000}"/>
    <cellStyle name="一般 362" xfId="1806" xr:uid="{00000000-0005-0000-0000-00000A070000}"/>
    <cellStyle name="一般 362 2" xfId="1807" xr:uid="{00000000-0005-0000-0000-00000B070000}"/>
    <cellStyle name="一般 362 2 2" xfId="1808" xr:uid="{00000000-0005-0000-0000-00000C070000}"/>
    <cellStyle name="一般 362 3" xfId="1809" xr:uid="{00000000-0005-0000-0000-00000D070000}"/>
    <cellStyle name="一般 363" xfId="1810" xr:uid="{00000000-0005-0000-0000-00000E070000}"/>
    <cellStyle name="一般 363 2" xfId="1811" xr:uid="{00000000-0005-0000-0000-00000F070000}"/>
    <cellStyle name="一般 363 2 2" xfId="1812" xr:uid="{00000000-0005-0000-0000-000010070000}"/>
    <cellStyle name="一般 363 3" xfId="1813" xr:uid="{00000000-0005-0000-0000-000011070000}"/>
    <cellStyle name="一般 364" xfId="1814" xr:uid="{00000000-0005-0000-0000-000012070000}"/>
    <cellStyle name="一般 364 2" xfId="1815" xr:uid="{00000000-0005-0000-0000-000013070000}"/>
    <cellStyle name="一般 364 2 2" xfId="1816" xr:uid="{00000000-0005-0000-0000-000014070000}"/>
    <cellStyle name="一般 364 3" xfId="1817" xr:uid="{00000000-0005-0000-0000-000015070000}"/>
    <cellStyle name="一般 365" xfId="1818" xr:uid="{00000000-0005-0000-0000-000016070000}"/>
    <cellStyle name="一般 365 2" xfId="1819" xr:uid="{00000000-0005-0000-0000-000017070000}"/>
    <cellStyle name="一般 365 2 2" xfId="1820" xr:uid="{00000000-0005-0000-0000-000018070000}"/>
    <cellStyle name="一般 365 3" xfId="1821" xr:uid="{00000000-0005-0000-0000-000019070000}"/>
    <cellStyle name="一般 366" xfId="1822" xr:uid="{00000000-0005-0000-0000-00001A070000}"/>
    <cellStyle name="一般 366 2" xfId="1823" xr:uid="{00000000-0005-0000-0000-00001B070000}"/>
    <cellStyle name="一般 366 2 2" xfId="1824" xr:uid="{00000000-0005-0000-0000-00001C070000}"/>
    <cellStyle name="一般 366 3" xfId="1825" xr:uid="{00000000-0005-0000-0000-00001D070000}"/>
    <cellStyle name="一般 367" xfId="1826" xr:uid="{00000000-0005-0000-0000-00001E070000}"/>
    <cellStyle name="一般 367 2" xfId="1827" xr:uid="{00000000-0005-0000-0000-00001F070000}"/>
    <cellStyle name="一般 367 2 2" xfId="1828" xr:uid="{00000000-0005-0000-0000-000020070000}"/>
    <cellStyle name="一般 367 3" xfId="1829" xr:uid="{00000000-0005-0000-0000-000021070000}"/>
    <cellStyle name="一般 368" xfId="1830" xr:uid="{00000000-0005-0000-0000-000022070000}"/>
    <cellStyle name="一般 368 2" xfId="1831" xr:uid="{00000000-0005-0000-0000-000023070000}"/>
    <cellStyle name="一般 368 2 2" xfId="1832" xr:uid="{00000000-0005-0000-0000-000024070000}"/>
    <cellStyle name="一般 368 3" xfId="1833" xr:uid="{00000000-0005-0000-0000-000025070000}"/>
    <cellStyle name="一般 369" xfId="1834" xr:uid="{00000000-0005-0000-0000-000026070000}"/>
    <cellStyle name="一般 369 2" xfId="1835" xr:uid="{00000000-0005-0000-0000-000027070000}"/>
    <cellStyle name="一般 369 2 2" xfId="1836" xr:uid="{00000000-0005-0000-0000-000028070000}"/>
    <cellStyle name="一般 369 3" xfId="1837" xr:uid="{00000000-0005-0000-0000-000029070000}"/>
    <cellStyle name="一般 37" xfId="1838" xr:uid="{00000000-0005-0000-0000-00002A070000}"/>
    <cellStyle name="一般 37 2" xfId="1839" xr:uid="{00000000-0005-0000-0000-00002B070000}"/>
    <cellStyle name="一般 37 2 2" xfId="1840" xr:uid="{00000000-0005-0000-0000-00002C070000}"/>
    <cellStyle name="一般 37 2 2 2" xfId="1841" xr:uid="{00000000-0005-0000-0000-00002D070000}"/>
    <cellStyle name="一般 37 2 3" xfId="1842" xr:uid="{00000000-0005-0000-0000-00002E070000}"/>
    <cellStyle name="一般 37 3" xfId="1843" xr:uid="{00000000-0005-0000-0000-00002F070000}"/>
    <cellStyle name="一般 37 3 2" xfId="1844" xr:uid="{00000000-0005-0000-0000-000030070000}"/>
    <cellStyle name="一般 37 4" xfId="1845" xr:uid="{00000000-0005-0000-0000-000031070000}"/>
    <cellStyle name="一般 370" xfId="1846" xr:uid="{00000000-0005-0000-0000-000032070000}"/>
    <cellStyle name="一般 370 2" xfId="1847" xr:uid="{00000000-0005-0000-0000-000033070000}"/>
    <cellStyle name="一般 370 2 2" xfId="1848" xr:uid="{00000000-0005-0000-0000-000034070000}"/>
    <cellStyle name="一般 370 3" xfId="1849" xr:uid="{00000000-0005-0000-0000-000035070000}"/>
    <cellStyle name="一般 371" xfId="1850" xr:uid="{00000000-0005-0000-0000-000036070000}"/>
    <cellStyle name="一般 371 2" xfId="1851" xr:uid="{00000000-0005-0000-0000-000037070000}"/>
    <cellStyle name="一般 371 2 2" xfId="1852" xr:uid="{00000000-0005-0000-0000-000038070000}"/>
    <cellStyle name="一般 371 3" xfId="1853" xr:uid="{00000000-0005-0000-0000-000039070000}"/>
    <cellStyle name="一般 372" xfId="1854" xr:uid="{00000000-0005-0000-0000-00003A070000}"/>
    <cellStyle name="一般 372 2" xfId="1855" xr:uid="{00000000-0005-0000-0000-00003B070000}"/>
    <cellStyle name="一般 372 2 2" xfId="1856" xr:uid="{00000000-0005-0000-0000-00003C070000}"/>
    <cellStyle name="一般 372 3" xfId="1857" xr:uid="{00000000-0005-0000-0000-00003D070000}"/>
    <cellStyle name="一般 373" xfId="1858" xr:uid="{00000000-0005-0000-0000-00003E070000}"/>
    <cellStyle name="一般 373 2" xfId="1859" xr:uid="{00000000-0005-0000-0000-00003F070000}"/>
    <cellStyle name="一般 373 2 2" xfId="1860" xr:uid="{00000000-0005-0000-0000-000040070000}"/>
    <cellStyle name="一般 373 3" xfId="1861" xr:uid="{00000000-0005-0000-0000-000041070000}"/>
    <cellStyle name="一般 374" xfId="1862" xr:uid="{00000000-0005-0000-0000-000042070000}"/>
    <cellStyle name="一般 374 2" xfId="1863" xr:uid="{00000000-0005-0000-0000-000043070000}"/>
    <cellStyle name="一般 374 2 2" xfId="1864" xr:uid="{00000000-0005-0000-0000-000044070000}"/>
    <cellStyle name="一般 374 3" xfId="1865" xr:uid="{00000000-0005-0000-0000-000045070000}"/>
    <cellStyle name="一般 375" xfId="1866" xr:uid="{00000000-0005-0000-0000-000046070000}"/>
    <cellStyle name="一般 375 2" xfId="1867" xr:uid="{00000000-0005-0000-0000-000047070000}"/>
    <cellStyle name="一般 375 2 2" xfId="1868" xr:uid="{00000000-0005-0000-0000-000048070000}"/>
    <cellStyle name="一般 375 3" xfId="1869" xr:uid="{00000000-0005-0000-0000-000049070000}"/>
    <cellStyle name="一般 376" xfId="1870" xr:uid="{00000000-0005-0000-0000-00004A070000}"/>
    <cellStyle name="一般 376 2" xfId="1871" xr:uid="{00000000-0005-0000-0000-00004B070000}"/>
    <cellStyle name="一般 376 2 2" xfId="1872" xr:uid="{00000000-0005-0000-0000-00004C070000}"/>
    <cellStyle name="一般 376 3" xfId="1873" xr:uid="{00000000-0005-0000-0000-00004D070000}"/>
    <cellStyle name="一般 377" xfId="1874" xr:uid="{00000000-0005-0000-0000-00004E070000}"/>
    <cellStyle name="一般 377 2" xfId="1875" xr:uid="{00000000-0005-0000-0000-00004F070000}"/>
    <cellStyle name="一般 377 2 2" xfId="1876" xr:uid="{00000000-0005-0000-0000-000050070000}"/>
    <cellStyle name="一般 377 3" xfId="1877" xr:uid="{00000000-0005-0000-0000-000051070000}"/>
    <cellStyle name="一般 378" xfId="1878" xr:uid="{00000000-0005-0000-0000-000052070000}"/>
    <cellStyle name="一般 378 2" xfId="1879" xr:uid="{00000000-0005-0000-0000-000053070000}"/>
    <cellStyle name="一般 378 2 2" xfId="1880" xr:uid="{00000000-0005-0000-0000-000054070000}"/>
    <cellStyle name="一般 378 3" xfId="1881" xr:uid="{00000000-0005-0000-0000-000055070000}"/>
    <cellStyle name="一般 379" xfId="1882" xr:uid="{00000000-0005-0000-0000-000056070000}"/>
    <cellStyle name="一般 379 2" xfId="1883" xr:uid="{00000000-0005-0000-0000-000057070000}"/>
    <cellStyle name="一般 379 2 2" xfId="1884" xr:uid="{00000000-0005-0000-0000-000058070000}"/>
    <cellStyle name="一般 379 3" xfId="1885" xr:uid="{00000000-0005-0000-0000-000059070000}"/>
    <cellStyle name="一般 38" xfId="1886" xr:uid="{00000000-0005-0000-0000-00005A070000}"/>
    <cellStyle name="一般 38 2" xfId="1887" xr:uid="{00000000-0005-0000-0000-00005B070000}"/>
    <cellStyle name="一般 38 2 2" xfId="1888" xr:uid="{00000000-0005-0000-0000-00005C070000}"/>
    <cellStyle name="一般 38 2 2 2" xfId="1889" xr:uid="{00000000-0005-0000-0000-00005D070000}"/>
    <cellStyle name="一般 38 2 3" xfId="1890" xr:uid="{00000000-0005-0000-0000-00005E070000}"/>
    <cellStyle name="一般 38 3" xfId="1891" xr:uid="{00000000-0005-0000-0000-00005F070000}"/>
    <cellStyle name="一般 38 3 2" xfId="1892" xr:uid="{00000000-0005-0000-0000-000060070000}"/>
    <cellStyle name="一般 38 4" xfId="1893" xr:uid="{00000000-0005-0000-0000-000061070000}"/>
    <cellStyle name="一般 380" xfId="1894" xr:uid="{00000000-0005-0000-0000-000062070000}"/>
    <cellStyle name="一般 380 2" xfId="1895" xr:uid="{00000000-0005-0000-0000-000063070000}"/>
    <cellStyle name="一般 380 2 2" xfId="1896" xr:uid="{00000000-0005-0000-0000-000064070000}"/>
    <cellStyle name="一般 380 3" xfId="1897" xr:uid="{00000000-0005-0000-0000-000065070000}"/>
    <cellStyle name="一般 381" xfId="1898" xr:uid="{00000000-0005-0000-0000-000066070000}"/>
    <cellStyle name="一般 381 2" xfId="1899" xr:uid="{00000000-0005-0000-0000-000067070000}"/>
    <cellStyle name="一般 381 2 2" xfId="1900" xr:uid="{00000000-0005-0000-0000-000068070000}"/>
    <cellStyle name="一般 381 3" xfId="1901" xr:uid="{00000000-0005-0000-0000-000069070000}"/>
    <cellStyle name="一般 382" xfId="1902" xr:uid="{00000000-0005-0000-0000-00006A070000}"/>
    <cellStyle name="一般 382 2" xfId="1903" xr:uid="{00000000-0005-0000-0000-00006B070000}"/>
    <cellStyle name="一般 382 2 2" xfId="1904" xr:uid="{00000000-0005-0000-0000-00006C070000}"/>
    <cellStyle name="一般 382 3" xfId="1905" xr:uid="{00000000-0005-0000-0000-00006D070000}"/>
    <cellStyle name="一般 383" xfId="1906" xr:uid="{00000000-0005-0000-0000-00006E070000}"/>
    <cellStyle name="一般 383 2" xfId="1907" xr:uid="{00000000-0005-0000-0000-00006F070000}"/>
    <cellStyle name="一般 383 2 2" xfId="1908" xr:uid="{00000000-0005-0000-0000-000070070000}"/>
    <cellStyle name="一般 383 3" xfId="1909" xr:uid="{00000000-0005-0000-0000-000071070000}"/>
    <cellStyle name="一般 384" xfId="1910" xr:uid="{00000000-0005-0000-0000-000072070000}"/>
    <cellStyle name="一般 384 2" xfId="1911" xr:uid="{00000000-0005-0000-0000-000073070000}"/>
    <cellStyle name="一般 384 2 2" xfId="1912" xr:uid="{00000000-0005-0000-0000-000074070000}"/>
    <cellStyle name="一般 384 3" xfId="1913" xr:uid="{00000000-0005-0000-0000-000075070000}"/>
    <cellStyle name="一般 385" xfId="1914" xr:uid="{00000000-0005-0000-0000-000076070000}"/>
    <cellStyle name="一般 385 2" xfId="1915" xr:uid="{00000000-0005-0000-0000-000077070000}"/>
    <cellStyle name="一般 385 2 2" xfId="1916" xr:uid="{00000000-0005-0000-0000-000078070000}"/>
    <cellStyle name="一般 385 3" xfId="1917" xr:uid="{00000000-0005-0000-0000-000079070000}"/>
    <cellStyle name="一般 386" xfId="1918" xr:uid="{00000000-0005-0000-0000-00007A070000}"/>
    <cellStyle name="一般 386 2" xfId="1919" xr:uid="{00000000-0005-0000-0000-00007B070000}"/>
    <cellStyle name="一般 386 2 2" xfId="1920" xr:uid="{00000000-0005-0000-0000-00007C070000}"/>
    <cellStyle name="一般 386 3" xfId="1921" xr:uid="{00000000-0005-0000-0000-00007D070000}"/>
    <cellStyle name="一般 387" xfId="1922" xr:uid="{00000000-0005-0000-0000-00007E070000}"/>
    <cellStyle name="一般 387 2" xfId="1923" xr:uid="{00000000-0005-0000-0000-00007F070000}"/>
    <cellStyle name="一般 387 2 2" xfId="1924" xr:uid="{00000000-0005-0000-0000-000080070000}"/>
    <cellStyle name="一般 387 3" xfId="1925" xr:uid="{00000000-0005-0000-0000-000081070000}"/>
    <cellStyle name="一般 388" xfId="1926" xr:uid="{00000000-0005-0000-0000-000082070000}"/>
    <cellStyle name="一般 388 2" xfId="1927" xr:uid="{00000000-0005-0000-0000-000083070000}"/>
    <cellStyle name="一般 388 2 2" xfId="1928" xr:uid="{00000000-0005-0000-0000-000084070000}"/>
    <cellStyle name="一般 388 3" xfId="1929" xr:uid="{00000000-0005-0000-0000-000085070000}"/>
    <cellStyle name="一般 389" xfId="1930" xr:uid="{00000000-0005-0000-0000-000086070000}"/>
    <cellStyle name="一般 389 2" xfId="1931" xr:uid="{00000000-0005-0000-0000-000087070000}"/>
    <cellStyle name="一般 389 2 2" xfId="1932" xr:uid="{00000000-0005-0000-0000-000088070000}"/>
    <cellStyle name="一般 389 3" xfId="1933" xr:uid="{00000000-0005-0000-0000-000089070000}"/>
    <cellStyle name="一般 39" xfId="1934" xr:uid="{00000000-0005-0000-0000-00008A070000}"/>
    <cellStyle name="一般 39 2" xfId="1935" xr:uid="{00000000-0005-0000-0000-00008B070000}"/>
    <cellStyle name="一般 39 2 2" xfId="1936" xr:uid="{00000000-0005-0000-0000-00008C070000}"/>
    <cellStyle name="一般 39 2 2 2" xfId="1937" xr:uid="{00000000-0005-0000-0000-00008D070000}"/>
    <cellStyle name="一般 39 2 3" xfId="1938" xr:uid="{00000000-0005-0000-0000-00008E070000}"/>
    <cellStyle name="一般 39 3" xfId="1939" xr:uid="{00000000-0005-0000-0000-00008F070000}"/>
    <cellStyle name="一般 39 3 2" xfId="1940" xr:uid="{00000000-0005-0000-0000-000090070000}"/>
    <cellStyle name="一般 39 4" xfId="1941" xr:uid="{00000000-0005-0000-0000-000091070000}"/>
    <cellStyle name="一般 390" xfId="1942" xr:uid="{00000000-0005-0000-0000-000092070000}"/>
    <cellStyle name="一般 390 2" xfId="1943" xr:uid="{00000000-0005-0000-0000-000093070000}"/>
    <cellStyle name="一般 390 2 2" xfId="1944" xr:uid="{00000000-0005-0000-0000-000094070000}"/>
    <cellStyle name="一般 390 3" xfId="1945" xr:uid="{00000000-0005-0000-0000-000095070000}"/>
    <cellStyle name="一般 391" xfId="1946" xr:uid="{00000000-0005-0000-0000-000096070000}"/>
    <cellStyle name="一般 391 2" xfId="1947" xr:uid="{00000000-0005-0000-0000-000097070000}"/>
    <cellStyle name="一般 391 2 2" xfId="1948" xr:uid="{00000000-0005-0000-0000-000098070000}"/>
    <cellStyle name="一般 391 3" xfId="1949" xr:uid="{00000000-0005-0000-0000-000099070000}"/>
    <cellStyle name="一般 392" xfId="1950" xr:uid="{00000000-0005-0000-0000-00009A070000}"/>
    <cellStyle name="一般 392 2" xfId="1951" xr:uid="{00000000-0005-0000-0000-00009B070000}"/>
    <cellStyle name="一般 392 2 2" xfId="1952" xr:uid="{00000000-0005-0000-0000-00009C070000}"/>
    <cellStyle name="一般 392 3" xfId="1953" xr:uid="{00000000-0005-0000-0000-00009D070000}"/>
    <cellStyle name="一般 393" xfId="1954" xr:uid="{00000000-0005-0000-0000-00009E070000}"/>
    <cellStyle name="一般 393 2" xfId="1955" xr:uid="{00000000-0005-0000-0000-00009F070000}"/>
    <cellStyle name="一般 393 2 2" xfId="1956" xr:uid="{00000000-0005-0000-0000-0000A0070000}"/>
    <cellStyle name="一般 393 3" xfId="1957" xr:uid="{00000000-0005-0000-0000-0000A1070000}"/>
    <cellStyle name="一般 394" xfId="1958" xr:uid="{00000000-0005-0000-0000-0000A2070000}"/>
    <cellStyle name="一般 394 2" xfId="1959" xr:uid="{00000000-0005-0000-0000-0000A3070000}"/>
    <cellStyle name="一般 394 2 2" xfId="1960" xr:uid="{00000000-0005-0000-0000-0000A4070000}"/>
    <cellStyle name="一般 394 3" xfId="1961" xr:uid="{00000000-0005-0000-0000-0000A5070000}"/>
    <cellStyle name="一般 395" xfId="1962" xr:uid="{00000000-0005-0000-0000-0000A6070000}"/>
    <cellStyle name="一般 395 2" xfId="1963" xr:uid="{00000000-0005-0000-0000-0000A7070000}"/>
    <cellStyle name="一般 395 2 2" xfId="1964" xr:uid="{00000000-0005-0000-0000-0000A8070000}"/>
    <cellStyle name="一般 395 3" xfId="1965" xr:uid="{00000000-0005-0000-0000-0000A9070000}"/>
    <cellStyle name="一般 396" xfId="1966" xr:uid="{00000000-0005-0000-0000-0000AA070000}"/>
    <cellStyle name="一般 396 2" xfId="1967" xr:uid="{00000000-0005-0000-0000-0000AB070000}"/>
    <cellStyle name="一般 396 2 2" xfId="1968" xr:uid="{00000000-0005-0000-0000-0000AC070000}"/>
    <cellStyle name="一般 396 3" xfId="1969" xr:uid="{00000000-0005-0000-0000-0000AD070000}"/>
    <cellStyle name="一般 397" xfId="1970" xr:uid="{00000000-0005-0000-0000-0000AE070000}"/>
    <cellStyle name="一般 397 2" xfId="1971" xr:uid="{00000000-0005-0000-0000-0000AF070000}"/>
    <cellStyle name="一般 397 2 2" xfId="1972" xr:uid="{00000000-0005-0000-0000-0000B0070000}"/>
    <cellStyle name="一般 397 3" xfId="1973" xr:uid="{00000000-0005-0000-0000-0000B1070000}"/>
    <cellStyle name="一般 398" xfId="1974" xr:uid="{00000000-0005-0000-0000-0000B2070000}"/>
    <cellStyle name="一般 398 2" xfId="1975" xr:uid="{00000000-0005-0000-0000-0000B3070000}"/>
    <cellStyle name="一般 398 2 2" xfId="1976" xr:uid="{00000000-0005-0000-0000-0000B4070000}"/>
    <cellStyle name="一般 398 3" xfId="1977" xr:uid="{00000000-0005-0000-0000-0000B5070000}"/>
    <cellStyle name="一般 399" xfId="1978" xr:uid="{00000000-0005-0000-0000-0000B6070000}"/>
    <cellStyle name="一般 399 2" xfId="1979" xr:uid="{00000000-0005-0000-0000-0000B7070000}"/>
    <cellStyle name="一般 399 2 2" xfId="1980" xr:uid="{00000000-0005-0000-0000-0000B8070000}"/>
    <cellStyle name="一般 399 3" xfId="1981" xr:uid="{00000000-0005-0000-0000-0000B9070000}"/>
    <cellStyle name="一般 4" xfId="1982" xr:uid="{00000000-0005-0000-0000-0000BA070000}"/>
    <cellStyle name="一般 4 2" xfId="1983" xr:uid="{00000000-0005-0000-0000-0000BB070000}"/>
    <cellStyle name="一般 4 2 2" xfId="1984" xr:uid="{00000000-0005-0000-0000-0000BC070000}"/>
    <cellStyle name="一般 4 2 2 2" xfId="1985" xr:uid="{00000000-0005-0000-0000-0000BD070000}"/>
    <cellStyle name="一般 4 2 3" xfId="1986" xr:uid="{00000000-0005-0000-0000-0000BE070000}"/>
    <cellStyle name="一般 4 3" xfId="1987" xr:uid="{00000000-0005-0000-0000-0000BF070000}"/>
    <cellStyle name="一般 4 3 2" xfId="1988" xr:uid="{00000000-0005-0000-0000-0000C0070000}"/>
    <cellStyle name="一般 4 4" xfId="1989" xr:uid="{00000000-0005-0000-0000-0000C1070000}"/>
    <cellStyle name="一般 40" xfId="1990" xr:uid="{00000000-0005-0000-0000-0000C2070000}"/>
    <cellStyle name="一般 40 2" xfId="1991" xr:uid="{00000000-0005-0000-0000-0000C3070000}"/>
    <cellStyle name="一般 40 2 2" xfId="1992" xr:uid="{00000000-0005-0000-0000-0000C4070000}"/>
    <cellStyle name="一般 40 2 2 2" xfId="1993" xr:uid="{00000000-0005-0000-0000-0000C5070000}"/>
    <cellStyle name="一般 40 2 3" xfId="1994" xr:uid="{00000000-0005-0000-0000-0000C6070000}"/>
    <cellStyle name="一般 40 3" xfId="1995" xr:uid="{00000000-0005-0000-0000-0000C7070000}"/>
    <cellStyle name="一般 40 3 2" xfId="1996" xr:uid="{00000000-0005-0000-0000-0000C8070000}"/>
    <cellStyle name="一般 40 4" xfId="1997" xr:uid="{00000000-0005-0000-0000-0000C9070000}"/>
    <cellStyle name="一般 400" xfId="1998" xr:uid="{00000000-0005-0000-0000-0000CA070000}"/>
    <cellStyle name="一般 400 2" xfId="1999" xr:uid="{00000000-0005-0000-0000-0000CB070000}"/>
    <cellStyle name="一般 400 2 2" xfId="2000" xr:uid="{00000000-0005-0000-0000-0000CC070000}"/>
    <cellStyle name="一般 400 3" xfId="2001" xr:uid="{00000000-0005-0000-0000-0000CD070000}"/>
    <cellStyle name="一般 401" xfId="2002" xr:uid="{00000000-0005-0000-0000-0000CE070000}"/>
    <cellStyle name="一般 401 2" xfId="2003" xr:uid="{00000000-0005-0000-0000-0000CF070000}"/>
    <cellStyle name="一般 401 2 2" xfId="2004" xr:uid="{00000000-0005-0000-0000-0000D0070000}"/>
    <cellStyle name="一般 401 3" xfId="2005" xr:uid="{00000000-0005-0000-0000-0000D1070000}"/>
    <cellStyle name="一般 402" xfId="2006" xr:uid="{00000000-0005-0000-0000-0000D2070000}"/>
    <cellStyle name="一般 402 2" xfId="2007" xr:uid="{00000000-0005-0000-0000-0000D3070000}"/>
    <cellStyle name="一般 402 2 2" xfId="2008" xr:uid="{00000000-0005-0000-0000-0000D4070000}"/>
    <cellStyle name="一般 402 3" xfId="2009" xr:uid="{00000000-0005-0000-0000-0000D5070000}"/>
    <cellStyle name="一般 403" xfId="2010" xr:uid="{00000000-0005-0000-0000-0000D6070000}"/>
    <cellStyle name="一般 403 2" xfId="2011" xr:uid="{00000000-0005-0000-0000-0000D7070000}"/>
    <cellStyle name="一般 403 2 2" xfId="2012" xr:uid="{00000000-0005-0000-0000-0000D8070000}"/>
    <cellStyle name="一般 403 3" xfId="2013" xr:uid="{00000000-0005-0000-0000-0000D9070000}"/>
    <cellStyle name="一般 404" xfId="2014" xr:uid="{00000000-0005-0000-0000-0000DA070000}"/>
    <cellStyle name="一般 404 2" xfId="2015" xr:uid="{00000000-0005-0000-0000-0000DB070000}"/>
    <cellStyle name="一般 404 2 2" xfId="2016" xr:uid="{00000000-0005-0000-0000-0000DC070000}"/>
    <cellStyle name="一般 404 3" xfId="2017" xr:uid="{00000000-0005-0000-0000-0000DD070000}"/>
    <cellStyle name="一般 405" xfId="2018" xr:uid="{00000000-0005-0000-0000-0000DE070000}"/>
    <cellStyle name="一般 405 2" xfId="2019" xr:uid="{00000000-0005-0000-0000-0000DF070000}"/>
    <cellStyle name="一般 405 2 2" xfId="2020" xr:uid="{00000000-0005-0000-0000-0000E0070000}"/>
    <cellStyle name="一般 405 3" xfId="2021" xr:uid="{00000000-0005-0000-0000-0000E1070000}"/>
    <cellStyle name="一般 406" xfId="2022" xr:uid="{00000000-0005-0000-0000-0000E2070000}"/>
    <cellStyle name="一般 406 2" xfId="2023" xr:uid="{00000000-0005-0000-0000-0000E3070000}"/>
    <cellStyle name="一般 406 2 2" xfId="2024" xr:uid="{00000000-0005-0000-0000-0000E4070000}"/>
    <cellStyle name="一般 406 3" xfId="2025" xr:uid="{00000000-0005-0000-0000-0000E5070000}"/>
    <cellStyle name="一般 407" xfId="2026" xr:uid="{00000000-0005-0000-0000-0000E6070000}"/>
    <cellStyle name="一般 407 2" xfId="2027" xr:uid="{00000000-0005-0000-0000-0000E7070000}"/>
    <cellStyle name="一般 407 2 2" xfId="2028" xr:uid="{00000000-0005-0000-0000-0000E8070000}"/>
    <cellStyle name="一般 407 3" xfId="2029" xr:uid="{00000000-0005-0000-0000-0000E9070000}"/>
    <cellStyle name="一般 408" xfId="2030" xr:uid="{00000000-0005-0000-0000-0000EA070000}"/>
    <cellStyle name="一般 408 2" xfId="2031" xr:uid="{00000000-0005-0000-0000-0000EB070000}"/>
    <cellStyle name="一般 408 2 2" xfId="2032" xr:uid="{00000000-0005-0000-0000-0000EC070000}"/>
    <cellStyle name="一般 408 3" xfId="2033" xr:uid="{00000000-0005-0000-0000-0000ED070000}"/>
    <cellStyle name="一般 409" xfId="2034" xr:uid="{00000000-0005-0000-0000-0000EE070000}"/>
    <cellStyle name="一般 409 2" xfId="2035" xr:uid="{00000000-0005-0000-0000-0000EF070000}"/>
    <cellStyle name="一般 409 2 2" xfId="2036" xr:uid="{00000000-0005-0000-0000-0000F0070000}"/>
    <cellStyle name="一般 409 3" xfId="2037" xr:uid="{00000000-0005-0000-0000-0000F1070000}"/>
    <cellStyle name="一般 41" xfId="2038" xr:uid="{00000000-0005-0000-0000-0000F2070000}"/>
    <cellStyle name="一般 41 2" xfId="2039" xr:uid="{00000000-0005-0000-0000-0000F3070000}"/>
    <cellStyle name="一般 41 2 2" xfId="2040" xr:uid="{00000000-0005-0000-0000-0000F4070000}"/>
    <cellStyle name="一般 41 2 2 2" xfId="2041" xr:uid="{00000000-0005-0000-0000-0000F5070000}"/>
    <cellStyle name="一般 41 2 3" xfId="2042" xr:uid="{00000000-0005-0000-0000-0000F6070000}"/>
    <cellStyle name="一般 41 3" xfId="2043" xr:uid="{00000000-0005-0000-0000-0000F7070000}"/>
    <cellStyle name="一般 41 3 2" xfId="2044" xr:uid="{00000000-0005-0000-0000-0000F8070000}"/>
    <cellStyle name="一般 41 4" xfId="2045" xr:uid="{00000000-0005-0000-0000-0000F9070000}"/>
    <cellStyle name="一般 410" xfId="2046" xr:uid="{00000000-0005-0000-0000-0000FA070000}"/>
    <cellStyle name="一般 410 2" xfId="2047" xr:uid="{00000000-0005-0000-0000-0000FB070000}"/>
    <cellStyle name="一般 410 2 2" xfId="2048" xr:uid="{00000000-0005-0000-0000-0000FC070000}"/>
    <cellStyle name="一般 410 3" xfId="2049" xr:uid="{00000000-0005-0000-0000-0000FD070000}"/>
    <cellStyle name="一般 411" xfId="2050" xr:uid="{00000000-0005-0000-0000-0000FE070000}"/>
    <cellStyle name="一般 411 2" xfId="2051" xr:uid="{00000000-0005-0000-0000-0000FF070000}"/>
    <cellStyle name="一般 411 2 2" xfId="2052" xr:uid="{00000000-0005-0000-0000-000000080000}"/>
    <cellStyle name="一般 411 3" xfId="2053" xr:uid="{00000000-0005-0000-0000-000001080000}"/>
    <cellStyle name="一般 412" xfId="2054" xr:uid="{00000000-0005-0000-0000-000002080000}"/>
    <cellStyle name="一般 412 2" xfId="2055" xr:uid="{00000000-0005-0000-0000-000003080000}"/>
    <cellStyle name="一般 412 2 2" xfId="2056" xr:uid="{00000000-0005-0000-0000-000004080000}"/>
    <cellStyle name="一般 412 3" xfId="2057" xr:uid="{00000000-0005-0000-0000-000005080000}"/>
    <cellStyle name="一般 413" xfId="2058" xr:uid="{00000000-0005-0000-0000-000006080000}"/>
    <cellStyle name="一般 413 2" xfId="2059" xr:uid="{00000000-0005-0000-0000-000007080000}"/>
    <cellStyle name="一般 413 2 2" xfId="2060" xr:uid="{00000000-0005-0000-0000-000008080000}"/>
    <cellStyle name="一般 413 3" xfId="2061" xr:uid="{00000000-0005-0000-0000-000009080000}"/>
    <cellStyle name="一般 414" xfId="2062" xr:uid="{00000000-0005-0000-0000-00000A080000}"/>
    <cellStyle name="一般 414 2" xfId="2063" xr:uid="{00000000-0005-0000-0000-00000B080000}"/>
    <cellStyle name="一般 414 2 2" xfId="2064" xr:uid="{00000000-0005-0000-0000-00000C080000}"/>
    <cellStyle name="一般 414 3" xfId="2065" xr:uid="{00000000-0005-0000-0000-00000D080000}"/>
    <cellStyle name="一般 415" xfId="2066" xr:uid="{00000000-0005-0000-0000-00000E080000}"/>
    <cellStyle name="一般 415 2" xfId="2067" xr:uid="{00000000-0005-0000-0000-00000F080000}"/>
    <cellStyle name="一般 415 2 2" xfId="2068" xr:uid="{00000000-0005-0000-0000-000010080000}"/>
    <cellStyle name="一般 415 3" xfId="2069" xr:uid="{00000000-0005-0000-0000-000011080000}"/>
    <cellStyle name="一般 416" xfId="2070" xr:uid="{00000000-0005-0000-0000-000012080000}"/>
    <cellStyle name="一般 416 2" xfId="2071" xr:uid="{00000000-0005-0000-0000-000013080000}"/>
    <cellStyle name="一般 416 2 2" xfId="2072" xr:uid="{00000000-0005-0000-0000-000014080000}"/>
    <cellStyle name="一般 416 3" xfId="2073" xr:uid="{00000000-0005-0000-0000-000015080000}"/>
    <cellStyle name="一般 417" xfId="2074" xr:uid="{00000000-0005-0000-0000-000016080000}"/>
    <cellStyle name="一般 417 2" xfId="2075" xr:uid="{00000000-0005-0000-0000-000017080000}"/>
    <cellStyle name="一般 417 2 2" xfId="2076" xr:uid="{00000000-0005-0000-0000-000018080000}"/>
    <cellStyle name="一般 417 3" xfId="2077" xr:uid="{00000000-0005-0000-0000-000019080000}"/>
    <cellStyle name="一般 418" xfId="2078" xr:uid="{00000000-0005-0000-0000-00001A080000}"/>
    <cellStyle name="一般 418 2" xfId="2079" xr:uid="{00000000-0005-0000-0000-00001B080000}"/>
    <cellStyle name="一般 418 2 2" xfId="2080" xr:uid="{00000000-0005-0000-0000-00001C080000}"/>
    <cellStyle name="一般 418 3" xfId="2081" xr:uid="{00000000-0005-0000-0000-00001D080000}"/>
    <cellStyle name="一般 419" xfId="2082" xr:uid="{00000000-0005-0000-0000-00001E080000}"/>
    <cellStyle name="一般 419 2" xfId="2083" xr:uid="{00000000-0005-0000-0000-00001F080000}"/>
    <cellStyle name="一般 419 2 2" xfId="2084" xr:uid="{00000000-0005-0000-0000-000020080000}"/>
    <cellStyle name="一般 419 3" xfId="2085" xr:uid="{00000000-0005-0000-0000-000021080000}"/>
    <cellStyle name="一般 42" xfId="2086" xr:uid="{00000000-0005-0000-0000-000022080000}"/>
    <cellStyle name="一般 42 2" xfId="2087" xr:uid="{00000000-0005-0000-0000-000023080000}"/>
    <cellStyle name="一般 42 2 2" xfId="2088" xr:uid="{00000000-0005-0000-0000-000024080000}"/>
    <cellStyle name="一般 42 2 2 2" xfId="2089" xr:uid="{00000000-0005-0000-0000-000025080000}"/>
    <cellStyle name="一般 42 2 3" xfId="2090" xr:uid="{00000000-0005-0000-0000-000026080000}"/>
    <cellStyle name="一般 42 3" xfId="2091" xr:uid="{00000000-0005-0000-0000-000027080000}"/>
    <cellStyle name="一般 42 3 2" xfId="2092" xr:uid="{00000000-0005-0000-0000-000028080000}"/>
    <cellStyle name="一般 42 4" xfId="2093" xr:uid="{00000000-0005-0000-0000-000029080000}"/>
    <cellStyle name="一般 420" xfId="2094" xr:uid="{00000000-0005-0000-0000-00002A080000}"/>
    <cellStyle name="一般 420 2" xfId="2095" xr:uid="{00000000-0005-0000-0000-00002B080000}"/>
    <cellStyle name="一般 420 2 2" xfId="2096" xr:uid="{00000000-0005-0000-0000-00002C080000}"/>
    <cellStyle name="一般 420 3" xfId="2097" xr:uid="{00000000-0005-0000-0000-00002D080000}"/>
    <cellStyle name="一般 421" xfId="2098" xr:uid="{00000000-0005-0000-0000-00002E080000}"/>
    <cellStyle name="一般 421 2" xfId="2099" xr:uid="{00000000-0005-0000-0000-00002F080000}"/>
    <cellStyle name="一般 421 2 2" xfId="2100" xr:uid="{00000000-0005-0000-0000-000030080000}"/>
    <cellStyle name="一般 421 3" xfId="2101" xr:uid="{00000000-0005-0000-0000-000031080000}"/>
    <cellStyle name="一般 422" xfId="2102" xr:uid="{00000000-0005-0000-0000-000032080000}"/>
    <cellStyle name="一般 422 2" xfId="2103" xr:uid="{00000000-0005-0000-0000-000033080000}"/>
    <cellStyle name="一般 422 2 2" xfId="2104" xr:uid="{00000000-0005-0000-0000-000034080000}"/>
    <cellStyle name="一般 422 3" xfId="2105" xr:uid="{00000000-0005-0000-0000-000035080000}"/>
    <cellStyle name="一般 423" xfId="2106" xr:uid="{00000000-0005-0000-0000-000036080000}"/>
    <cellStyle name="一般 423 2" xfId="2107" xr:uid="{00000000-0005-0000-0000-000037080000}"/>
    <cellStyle name="一般 423 2 2" xfId="2108" xr:uid="{00000000-0005-0000-0000-000038080000}"/>
    <cellStyle name="一般 423 3" xfId="2109" xr:uid="{00000000-0005-0000-0000-000039080000}"/>
    <cellStyle name="一般 424" xfId="2110" xr:uid="{00000000-0005-0000-0000-00003A080000}"/>
    <cellStyle name="一般 424 2" xfId="2111" xr:uid="{00000000-0005-0000-0000-00003B080000}"/>
    <cellStyle name="一般 424 2 2" xfId="2112" xr:uid="{00000000-0005-0000-0000-00003C080000}"/>
    <cellStyle name="一般 424 3" xfId="2113" xr:uid="{00000000-0005-0000-0000-00003D080000}"/>
    <cellStyle name="一般 425" xfId="2114" xr:uid="{00000000-0005-0000-0000-00003E080000}"/>
    <cellStyle name="一般 425 2" xfId="2115" xr:uid="{00000000-0005-0000-0000-00003F080000}"/>
    <cellStyle name="一般 425 2 2" xfId="2116" xr:uid="{00000000-0005-0000-0000-000040080000}"/>
    <cellStyle name="一般 425 3" xfId="2117" xr:uid="{00000000-0005-0000-0000-000041080000}"/>
    <cellStyle name="一般 426" xfId="2118" xr:uid="{00000000-0005-0000-0000-000042080000}"/>
    <cellStyle name="一般 426 2" xfId="2119" xr:uid="{00000000-0005-0000-0000-000043080000}"/>
    <cellStyle name="一般 426 2 2" xfId="2120" xr:uid="{00000000-0005-0000-0000-000044080000}"/>
    <cellStyle name="一般 426 3" xfId="2121" xr:uid="{00000000-0005-0000-0000-000045080000}"/>
    <cellStyle name="一般 427" xfId="2122" xr:uid="{00000000-0005-0000-0000-000046080000}"/>
    <cellStyle name="一般 427 2" xfId="2123" xr:uid="{00000000-0005-0000-0000-000047080000}"/>
    <cellStyle name="一般 427 2 2" xfId="2124" xr:uid="{00000000-0005-0000-0000-000048080000}"/>
    <cellStyle name="一般 427 3" xfId="2125" xr:uid="{00000000-0005-0000-0000-000049080000}"/>
    <cellStyle name="一般 428" xfId="2126" xr:uid="{00000000-0005-0000-0000-00004A080000}"/>
    <cellStyle name="一般 428 2" xfId="2127" xr:uid="{00000000-0005-0000-0000-00004B080000}"/>
    <cellStyle name="一般 428 2 2" xfId="2128" xr:uid="{00000000-0005-0000-0000-00004C080000}"/>
    <cellStyle name="一般 428 3" xfId="2129" xr:uid="{00000000-0005-0000-0000-00004D080000}"/>
    <cellStyle name="一般 429" xfId="2130" xr:uid="{00000000-0005-0000-0000-00004E080000}"/>
    <cellStyle name="一般 429 2" xfId="2131" xr:uid="{00000000-0005-0000-0000-00004F080000}"/>
    <cellStyle name="一般 429 2 2" xfId="2132" xr:uid="{00000000-0005-0000-0000-000050080000}"/>
    <cellStyle name="一般 429 3" xfId="2133" xr:uid="{00000000-0005-0000-0000-000051080000}"/>
    <cellStyle name="一般 43" xfId="2134" xr:uid="{00000000-0005-0000-0000-000052080000}"/>
    <cellStyle name="一般 43 2" xfId="2135" xr:uid="{00000000-0005-0000-0000-000053080000}"/>
    <cellStyle name="一般 43 2 2" xfId="2136" xr:uid="{00000000-0005-0000-0000-000054080000}"/>
    <cellStyle name="一般 43 2 2 2" xfId="2137" xr:uid="{00000000-0005-0000-0000-000055080000}"/>
    <cellStyle name="一般 43 2 3" xfId="2138" xr:uid="{00000000-0005-0000-0000-000056080000}"/>
    <cellStyle name="一般 43 3" xfId="2139" xr:uid="{00000000-0005-0000-0000-000057080000}"/>
    <cellStyle name="一般 43 3 2" xfId="2140" xr:uid="{00000000-0005-0000-0000-000058080000}"/>
    <cellStyle name="一般 43 4" xfId="2141" xr:uid="{00000000-0005-0000-0000-000059080000}"/>
    <cellStyle name="一般 430" xfId="2142" xr:uid="{00000000-0005-0000-0000-00005A080000}"/>
    <cellStyle name="一般 430 2" xfId="2143" xr:uid="{00000000-0005-0000-0000-00005B080000}"/>
    <cellStyle name="一般 430 2 2" xfId="2144" xr:uid="{00000000-0005-0000-0000-00005C080000}"/>
    <cellStyle name="一般 430 3" xfId="2145" xr:uid="{00000000-0005-0000-0000-00005D080000}"/>
    <cellStyle name="一般 431" xfId="2146" xr:uid="{00000000-0005-0000-0000-00005E080000}"/>
    <cellStyle name="一般 431 2" xfId="2147" xr:uid="{00000000-0005-0000-0000-00005F080000}"/>
    <cellStyle name="一般 431 2 2" xfId="2148" xr:uid="{00000000-0005-0000-0000-000060080000}"/>
    <cellStyle name="一般 431 3" xfId="2149" xr:uid="{00000000-0005-0000-0000-000061080000}"/>
    <cellStyle name="一般 432" xfId="2150" xr:uid="{00000000-0005-0000-0000-000062080000}"/>
    <cellStyle name="一般 432 2" xfId="2151" xr:uid="{00000000-0005-0000-0000-000063080000}"/>
    <cellStyle name="一般 433" xfId="2152" xr:uid="{00000000-0005-0000-0000-000064080000}"/>
    <cellStyle name="一般 433 2" xfId="2153" xr:uid="{00000000-0005-0000-0000-000065080000}"/>
    <cellStyle name="一般 434" xfId="2154" xr:uid="{00000000-0005-0000-0000-000066080000}"/>
    <cellStyle name="一般 434 2" xfId="2155" xr:uid="{00000000-0005-0000-0000-000067080000}"/>
    <cellStyle name="一般 435" xfId="2156" xr:uid="{00000000-0005-0000-0000-000068080000}"/>
    <cellStyle name="一般 435 2" xfId="2157" xr:uid="{00000000-0005-0000-0000-000069080000}"/>
    <cellStyle name="一般 436" xfId="2158" xr:uid="{00000000-0005-0000-0000-00006A080000}"/>
    <cellStyle name="一般 436 2" xfId="2159" xr:uid="{00000000-0005-0000-0000-00006B080000}"/>
    <cellStyle name="一般 437" xfId="2160" xr:uid="{00000000-0005-0000-0000-00006C080000}"/>
    <cellStyle name="一般 437 2" xfId="2161" xr:uid="{00000000-0005-0000-0000-00006D080000}"/>
    <cellStyle name="一般 438" xfId="2162" xr:uid="{00000000-0005-0000-0000-00006E080000}"/>
    <cellStyle name="一般 438 2" xfId="2163" xr:uid="{00000000-0005-0000-0000-00006F080000}"/>
    <cellStyle name="一般 439" xfId="2164" xr:uid="{00000000-0005-0000-0000-000070080000}"/>
    <cellStyle name="一般 439 2" xfId="2165" xr:uid="{00000000-0005-0000-0000-000071080000}"/>
    <cellStyle name="一般 44" xfId="2166" xr:uid="{00000000-0005-0000-0000-000072080000}"/>
    <cellStyle name="一般 44 2" xfId="2167" xr:uid="{00000000-0005-0000-0000-000073080000}"/>
    <cellStyle name="一般 44 2 2" xfId="2168" xr:uid="{00000000-0005-0000-0000-000074080000}"/>
    <cellStyle name="一般 44 2 2 2" xfId="2169" xr:uid="{00000000-0005-0000-0000-000075080000}"/>
    <cellStyle name="一般 44 2 3" xfId="2170" xr:uid="{00000000-0005-0000-0000-000076080000}"/>
    <cellStyle name="一般 44 3" xfId="2171" xr:uid="{00000000-0005-0000-0000-000077080000}"/>
    <cellStyle name="一般 44 3 2" xfId="2172" xr:uid="{00000000-0005-0000-0000-000078080000}"/>
    <cellStyle name="一般 44 4" xfId="2173" xr:uid="{00000000-0005-0000-0000-000079080000}"/>
    <cellStyle name="一般 440" xfId="2174" xr:uid="{00000000-0005-0000-0000-00007A080000}"/>
    <cellStyle name="一般 440 2" xfId="2175" xr:uid="{00000000-0005-0000-0000-00007B080000}"/>
    <cellStyle name="一般 441" xfId="2176" xr:uid="{00000000-0005-0000-0000-00007C080000}"/>
    <cellStyle name="一般 441 2" xfId="2177" xr:uid="{00000000-0005-0000-0000-00007D080000}"/>
    <cellStyle name="一般 442" xfId="2178" xr:uid="{00000000-0005-0000-0000-00007E080000}"/>
    <cellStyle name="一般 442 2" xfId="2179" xr:uid="{00000000-0005-0000-0000-00007F080000}"/>
    <cellStyle name="一般 443" xfId="2180" xr:uid="{00000000-0005-0000-0000-000080080000}"/>
    <cellStyle name="一般 443 2" xfId="2181" xr:uid="{00000000-0005-0000-0000-000081080000}"/>
    <cellStyle name="一般 444" xfId="2182" xr:uid="{00000000-0005-0000-0000-000082080000}"/>
    <cellStyle name="一般 444 2" xfId="2183" xr:uid="{00000000-0005-0000-0000-000083080000}"/>
    <cellStyle name="一般 445" xfId="2184" xr:uid="{00000000-0005-0000-0000-000084080000}"/>
    <cellStyle name="一般 445 2" xfId="2185" xr:uid="{00000000-0005-0000-0000-000085080000}"/>
    <cellStyle name="一般 446" xfId="2186" xr:uid="{00000000-0005-0000-0000-000086080000}"/>
    <cellStyle name="一般 446 2" xfId="2187" xr:uid="{00000000-0005-0000-0000-000087080000}"/>
    <cellStyle name="一般 447" xfId="2188" xr:uid="{00000000-0005-0000-0000-000088080000}"/>
    <cellStyle name="一般 447 2" xfId="2189" xr:uid="{00000000-0005-0000-0000-000089080000}"/>
    <cellStyle name="一般 448" xfId="2190" xr:uid="{00000000-0005-0000-0000-00008A080000}"/>
    <cellStyle name="一般 448 2" xfId="2191" xr:uid="{00000000-0005-0000-0000-00008B080000}"/>
    <cellStyle name="一般 449" xfId="2192" xr:uid="{00000000-0005-0000-0000-00008C080000}"/>
    <cellStyle name="一般 449 2" xfId="2193" xr:uid="{00000000-0005-0000-0000-00008D080000}"/>
    <cellStyle name="一般 45" xfId="2194" xr:uid="{00000000-0005-0000-0000-00008E080000}"/>
    <cellStyle name="一般 45 2" xfId="2195" xr:uid="{00000000-0005-0000-0000-00008F080000}"/>
    <cellStyle name="一般 45 2 2" xfId="2196" xr:uid="{00000000-0005-0000-0000-000090080000}"/>
    <cellStyle name="一般 45 2 2 2" xfId="2197" xr:uid="{00000000-0005-0000-0000-000091080000}"/>
    <cellStyle name="一般 45 2 3" xfId="2198" xr:uid="{00000000-0005-0000-0000-000092080000}"/>
    <cellStyle name="一般 45 3" xfId="2199" xr:uid="{00000000-0005-0000-0000-000093080000}"/>
    <cellStyle name="一般 45 3 2" xfId="2200" xr:uid="{00000000-0005-0000-0000-000094080000}"/>
    <cellStyle name="一般 45 4" xfId="2201" xr:uid="{00000000-0005-0000-0000-000095080000}"/>
    <cellStyle name="一般 450" xfId="2202" xr:uid="{00000000-0005-0000-0000-000096080000}"/>
    <cellStyle name="一般 450 2" xfId="2203" xr:uid="{00000000-0005-0000-0000-000097080000}"/>
    <cellStyle name="一般 451" xfId="2204" xr:uid="{00000000-0005-0000-0000-000098080000}"/>
    <cellStyle name="一般 451 2" xfId="2205" xr:uid="{00000000-0005-0000-0000-000099080000}"/>
    <cellStyle name="一般 452" xfId="2206" xr:uid="{00000000-0005-0000-0000-00009A080000}"/>
    <cellStyle name="一般 452 2" xfId="2207" xr:uid="{00000000-0005-0000-0000-00009B080000}"/>
    <cellStyle name="一般 453" xfId="2208" xr:uid="{00000000-0005-0000-0000-00009C080000}"/>
    <cellStyle name="一般 453 2" xfId="2209" xr:uid="{00000000-0005-0000-0000-00009D080000}"/>
    <cellStyle name="一般 454" xfId="2210" xr:uid="{00000000-0005-0000-0000-00009E080000}"/>
    <cellStyle name="一般 454 2" xfId="2211" xr:uid="{00000000-0005-0000-0000-00009F080000}"/>
    <cellStyle name="一般 455" xfId="2212" xr:uid="{00000000-0005-0000-0000-0000A0080000}"/>
    <cellStyle name="一般 455 2" xfId="2213" xr:uid="{00000000-0005-0000-0000-0000A1080000}"/>
    <cellStyle name="一般 456" xfId="2214" xr:uid="{00000000-0005-0000-0000-0000A2080000}"/>
    <cellStyle name="一般 456 2" xfId="2215" xr:uid="{00000000-0005-0000-0000-0000A3080000}"/>
    <cellStyle name="一般 457" xfId="2216" xr:uid="{00000000-0005-0000-0000-0000A4080000}"/>
    <cellStyle name="一般 457 2" xfId="2217" xr:uid="{00000000-0005-0000-0000-0000A5080000}"/>
    <cellStyle name="一般 458" xfId="2218" xr:uid="{00000000-0005-0000-0000-0000A6080000}"/>
    <cellStyle name="一般 458 2" xfId="2219" xr:uid="{00000000-0005-0000-0000-0000A7080000}"/>
    <cellStyle name="一般 459" xfId="2220" xr:uid="{00000000-0005-0000-0000-0000A8080000}"/>
    <cellStyle name="一般 459 2" xfId="2221" xr:uid="{00000000-0005-0000-0000-0000A9080000}"/>
    <cellStyle name="一般 46" xfId="2222" xr:uid="{00000000-0005-0000-0000-0000AA080000}"/>
    <cellStyle name="一般 46 2" xfId="2223" xr:uid="{00000000-0005-0000-0000-0000AB080000}"/>
    <cellStyle name="一般 46 2 2" xfId="2224" xr:uid="{00000000-0005-0000-0000-0000AC080000}"/>
    <cellStyle name="一般 46 2 2 2" xfId="2225" xr:uid="{00000000-0005-0000-0000-0000AD080000}"/>
    <cellStyle name="一般 46 2 3" xfId="2226" xr:uid="{00000000-0005-0000-0000-0000AE080000}"/>
    <cellStyle name="一般 46 3" xfId="2227" xr:uid="{00000000-0005-0000-0000-0000AF080000}"/>
    <cellStyle name="一般 46 3 2" xfId="2228" xr:uid="{00000000-0005-0000-0000-0000B0080000}"/>
    <cellStyle name="一般 46 4" xfId="2229" xr:uid="{00000000-0005-0000-0000-0000B1080000}"/>
    <cellStyle name="一般 460" xfId="2230" xr:uid="{00000000-0005-0000-0000-0000B2080000}"/>
    <cellStyle name="一般 460 2" xfId="2231" xr:uid="{00000000-0005-0000-0000-0000B3080000}"/>
    <cellStyle name="一般 461" xfId="2232" xr:uid="{00000000-0005-0000-0000-0000B4080000}"/>
    <cellStyle name="一般 461 2" xfId="2233" xr:uid="{00000000-0005-0000-0000-0000B5080000}"/>
    <cellStyle name="一般 462" xfId="2234" xr:uid="{00000000-0005-0000-0000-0000B6080000}"/>
    <cellStyle name="一般 462 2" xfId="2235" xr:uid="{00000000-0005-0000-0000-0000B7080000}"/>
    <cellStyle name="一般 463" xfId="2236" xr:uid="{00000000-0005-0000-0000-0000B8080000}"/>
    <cellStyle name="一般 463 2" xfId="2237" xr:uid="{00000000-0005-0000-0000-0000B9080000}"/>
    <cellStyle name="一般 464" xfId="2238" xr:uid="{00000000-0005-0000-0000-0000BA080000}"/>
    <cellStyle name="一般 464 2" xfId="2239" xr:uid="{00000000-0005-0000-0000-0000BB080000}"/>
    <cellStyle name="一般 465" xfId="2240" xr:uid="{00000000-0005-0000-0000-0000BC080000}"/>
    <cellStyle name="一般 465 2" xfId="2241" xr:uid="{00000000-0005-0000-0000-0000BD080000}"/>
    <cellStyle name="一般 466" xfId="2242" xr:uid="{00000000-0005-0000-0000-0000BE080000}"/>
    <cellStyle name="一般 466 2" xfId="2243" xr:uid="{00000000-0005-0000-0000-0000BF080000}"/>
    <cellStyle name="一般 467" xfId="2244" xr:uid="{00000000-0005-0000-0000-0000C0080000}"/>
    <cellStyle name="一般 467 2" xfId="2245" xr:uid="{00000000-0005-0000-0000-0000C1080000}"/>
    <cellStyle name="一般 468" xfId="2246" xr:uid="{00000000-0005-0000-0000-0000C2080000}"/>
    <cellStyle name="一般 468 2" xfId="2247" xr:uid="{00000000-0005-0000-0000-0000C3080000}"/>
    <cellStyle name="一般 469" xfId="2248" xr:uid="{00000000-0005-0000-0000-0000C4080000}"/>
    <cellStyle name="一般 469 2" xfId="2249" xr:uid="{00000000-0005-0000-0000-0000C5080000}"/>
    <cellStyle name="一般 47" xfId="2250" xr:uid="{00000000-0005-0000-0000-0000C6080000}"/>
    <cellStyle name="一般 47 2" xfId="2251" xr:uid="{00000000-0005-0000-0000-0000C7080000}"/>
    <cellStyle name="一般 47 2 2" xfId="2252" xr:uid="{00000000-0005-0000-0000-0000C8080000}"/>
    <cellStyle name="一般 47 2 2 2" xfId="2253" xr:uid="{00000000-0005-0000-0000-0000C9080000}"/>
    <cellStyle name="一般 47 2 3" xfId="2254" xr:uid="{00000000-0005-0000-0000-0000CA080000}"/>
    <cellStyle name="一般 47 3" xfId="2255" xr:uid="{00000000-0005-0000-0000-0000CB080000}"/>
    <cellStyle name="一般 47 3 2" xfId="2256" xr:uid="{00000000-0005-0000-0000-0000CC080000}"/>
    <cellStyle name="一般 47 4" xfId="2257" xr:uid="{00000000-0005-0000-0000-0000CD080000}"/>
    <cellStyle name="一般 470" xfId="2258" xr:uid="{00000000-0005-0000-0000-0000CE080000}"/>
    <cellStyle name="一般 470 2" xfId="2259" xr:uid="{00000000-0005-0000-0000-0000CF080000}"/>
    <cellStyle name="一般 471" xfId="2260" xr:uid="{00000000-0005-0000-0000-0000D0080000}"/>
    <cellStyle name="一般 471 2" xfId="2261" xr:uid="{00000000-0005-0000-0000-0000D1080000}"/>
    <cellStyle name="一般 472" xfId="2262" xr:uid="{00000000-0005-0000-0000-0000D2080000}"/>
    <cellStyle name="一般 472 2" xfId="2263" xr:uid="{00000000-0005-0000-0000-0000D3080000}"/>
    <cellStyle name="一般 473" xfId="2264" xr:uid="{00000000-0005-0000-0000-0000D4080000}"/>
    <cellStyle name="一般 473 2" xfId="2265" xr:uid="{00000000-0005-0000-0000-0000D5080000}"/>
    <cellStyle name="一般 474" xfId="2266" xr:uid="{00000000-0005-0000-0000-0000D6080000}"/>
    <cellStyle name="一般 475" xfId="2267" xr:uid="{00000000-0005-0000-0000-0000D7080000}"/>
    <cellStyle name="一般 476" xfId="2268" xr:uid="{00000000-0005-0000-0000-0000D8080000}"/>
    <cellStyle name="一般 477" xfId="2269" xr:uid="{00000000-0005-0000-0000-0000D9080000}"/>
    <cellStyle name="一般 478" xfId="2270" xr:uid="{00000000-0005-0000-0000-0000DA080000}"/>
    <cellStyle name="一般 479" xfId="2271" xr:uid="{00000000-0005-0000-0000-0000DB080000}"/>
    <cellStyle name="一般 48" xfId="2272" xr:uid="{00000000-0005-0000-0000-0000DC080000}"/>
    <cellStyle name="一般 48 2" xfId="2273" xr:uid="{00000000-0005-0000-0000-0000DD080000}"/>
    <cellStyle name="一般 48 2 2" xfId="2274" xr:uid="{00000000-0005-0000-0000-0000DE080000}"/>
    <cellStyle name="一般 48 2 2 2" xfId="2275" xr:uid="{00000000-0005-0000-0000-0000DF080000}"/>
    <cellStyle name="一般 48 2 3" xfId="2276" xr:uid="{00000000-0005-0000-0000-0000E0080000}"/>
    <cellStyle name="一般 48 3" xfId="2277" xr:uid="{00000000-0005-0000-0000-0000E1080000}"/>
    <cellStyle name="一般 48 3 2" xfId="2278" xr:uid="{00000000-0005-0000-0000-0000E2080000}"/>
    <cellStyle name="一般 48 4" xfId="2279" xr:uid="{00000000-0005-0000-0000-0000E3080000}"/>
    <cellStyle name="一般 49" xfId="2280" xr:uid="{00000000-0005-0000-0000-0000E4080000}"/>
    <cellStyle name="一般 49 2" xfId="2281" xr:uid="{00000000-0005-0000-0000-0000E5080000}"/>
    <cellStyle name="一般 49 2 2" xfId="2282" xr:uid="{00000000-0005-0000-0000-0000E6080000}"/>
    <cellStyle name="一般 49 2 2 2" xfId="2283" xr:uid="{00000000-0005-0000-0000-0000E7080000}"/>
    <cellStyle name="一般 49 2 3" xfId="2284" xr:uid="{00000000-0005-0000-0000-0000E8080000}"/>
    <cellStyle name="一般 49 3" xfId="2285" xr:uid="{00000000-0005-0000-0000-0000E9080000}"/>
    <cellStyle name="一般 49 3 2" xfId="2286" xr:uid="{00000000-0005-0000-0000-0000EA080000}"/>
    <cellStyle name="一般 49 4" xfId="2287" xr:uid="{00000000-0005-0000-0000-0000EB080000}"/>
    <cellStyle name="一般 5" xfId="2288" xr:uid="{00000000-0005-0000-0000-0000EC080000}"/>
    <cellStyle name="一般 5 2" xfId="2289" xr:uid="{00000000-0005-0000-0000-0000ED080000}"/>
    <cellStyle name="一般 5 2 2" xfId="2290" xr:uid="{00000000-0005-0000-0000-0000EE080000}"/>
    <cellStyle name="一般 5 2 2 2" xfId="2291" xr:uid="{00000000-0005-0000-0000-0000EF080000}"/>
    <cellStyle name="一般 5 2 3" xfId="2292" xr:uid="{00000000-0005-0000-0000-0000F0080000}"/>
    <cellStyle name="一般 5 3" xfId="2293" xr:uid="{00000000-0005-0000-0000-0000F1080000}"/>
    <cellStyle name="一般 5 3 2" xfId="2294" xr:uid="{00000000-0005-0000-0000-0000F2080000}"/>
    <cellStyle name="一般 5 4" xfId="2295" xr:uid="{00000000-0005-0000-0000-0000F3080000}"/>
    <cellStyle name="一般 50" xfId="2296" xr:uid="{00000000-0005-0000-0000-0000F4080000}"/>
    <cellStyle name="一般 50 2" xfId="2297" xr:uid="{00000000-0005-0000-0000-0000F5080000}"/>
    <cellStyle name="一般 50 2 2" xfId="2298" xr:uid="{00000000-0005-0000-0000-0000F6080000}"/>
    <cellStyle name="一般 50 2 2 2" xfId="2299" xr:uid="{00000000-0005-0000-0000-0000F7080000}"/>
    <cellStyle name="一般 50 2 3" xfId="2300" xr:uid="{00000000-0005-0000-0000-0000F8080000}"/>
    <cellStyle name="一般 50 3" xfId="2301" xr:uid="{00000000-0005-0000-0000-0000F9080000}"/>
    <cellStyle name="一般 50 3 2" xfId="2302" xr:uid="{00000000-0005-0000-0000-0000FA080000}"/>
    <cellStyle name="一般 50 4" xfId="2303" xr:uid="{00000000-0005-0000-0000-0000FB080000}"/>
    <cellStyle name="一般 51" xfId="2304" xr:uid="{00000000-0005-0000-0000-0000FC080000}"/>
    <cellStyle name="一般 51 2" xfId="2305" xr:uid="{00000000-0005-0000-0000-0000FD080000}"/>
    <cellStyle name="一般 51 2 2" xfId="2306" xr:uid="{00000000-0005-0000-0000-0000FE080000}"/>
    <cellStyle name="一般 51 2 2 2" xfId="2307" xr:uid="{00000000-0005-0000-0000-0000FF080000}"/>
    <cellStyle name="一般 51 2 3" xfId="2308" xr:uid="{00000000-0005-0000-0000-000000090000}"/>
    <cellStyle name="一般 51 3" xfId="2309" xr:uid="{00000000-0005-0000-0000-000001090000}"/>
    <cellStyle name="一般 51 3 2" xfId="2310" xr:uid="{00000000-0005-0000-0000-000002090000}"/>
    <cellStyle name="一般 51 4" xfId="2311" xr:uid="{00000000-0005-0000-0000-000003090000}"/>
    <cellStyle name="一般 52" xfId="2312" xr:uid="{00000000-0005-0000-0000-000004090000}"/>
    <cellStyle name="一般 52 2" xfId="2313" xr:uid="{00000000-0005-0000-0000-000005090000}"/>
    <cellStyle name="一般 52 2 2" xfId="2314" xr:uid="{00000000-0005-0000-0000-000006090000}"/>
    <cellStyle name="一般 52 2 2 2" xfId="2315" xr:uid="{00000000-0005-0000-0000-000007090000}"/>
    <cellStyle name="一般 52 2 3" xfId="2316" xr:uid="{00000000-0005-0000-0000-000008090000}"/>
    <cellStyle name="一般 52 3" xfId="2317" xr:uid="{00000000-0005-0000-0000-000009090000}"/>
    <cellStyle name="一般 52 3 2" xfId="2318" xr:uid="{00000000-0005-0000-0000-00000A090000}"/>
    <cellStyle name="一般 52 4" xfId="2319" xr:uid="{00000000-0005-0000-0000-00000B090000}"/>
    <cellStyle name="一般 53" xfId="2320" xr:uid="{00000000-0005-0000-0000-00000C090000}"/>
    <cellStyle name="一般 53 2" xfId="2321" xr:uid="{00000000-0005-0000-0000-00000D090000}"/>
    <cellStyle name="一般 53 2 2" xfId="2322" xr:uid="{00000000-0005-0000-0000-00000E090000}"/>
    <cellStyle name="一般 53 2 2 2" xfId="2323" xr:uid="{00000000-0005-0000-0000-00000F090000}"/>
    <cellStyle name="一般 53 2 3" xfId="2324" xr:uid="{00000000-0005-0000-0000-000010090000}"/>
    <cellStyle name="一般 53 3" xfId="2325" xr:uid="{00000000-0005-0000-0000-000011090000}"/>
    <cellStyle name="一般 53 3 2" xfId="2326" xr:uid="{00000000-0005-0000-0000-000012090000}"/>
    <cellStyle name="一般 53 4" xfId="2327" xr:uid="{00000000-0005-0000-0000-000013090000}"/>
    <cellStyle name="一般 54" xfId="2328" xr:uid="{00000000-0005-0000-0000-000014090000}"/>
    <cellStyle name="一般 54 2" xfId="2329" xr:uid="{00000000-0005-0000-0000-000015090000}"/>
    <cellStyle name="一般 54 2 2" xfId="2330" xr:uid="{00000000-0005-0000-0000-000016090000}"/>
    <cellStyle name="一般 54 2 2 2" xfId="2331" xr:uid="{00000000-0005-0000-0000-000017090000}"/>
    <cellStyle name="一般 54 2 3" xfId="2332" xr:uid="{00000000-0005-0000-0000-000018090000}"/>
    <cellStyle name="一般 54 3" xfId="2333" xr:uid="{00000000-0005-0000-0000-000019090000}"/>
    <cellStyle name="一般 54 3 2" xfId="2334" xr:uid="{00000000-0005-0000-0000-00001A090000}"/>
    <cellStyle name="一般 54 4" xfId="2335" xr:uid="{00000000-0005-0000-0000-00001B090000}"/>
    <cellStyle name="一般 55" xfId="2336" xr:uid="{00000000-0005-0000-0000-00001C090000}"/>
    <cellStyle name="一般 55 2" xfId="2337" xr:uid="{00000000-0005-0000-0000-00001D090000}"/>
    <cellStyle name="一般 55 2 2" xfId="2338" xr:uid="{00000000-0005-0000-0000-00001E090000}"/>
    <cellStyle name="一般 55 2 2 2" xfId="2339" xr:uid="{00000000-0005-0000-0000-00001F090000}"/>
    <cellStyle name="一般 55 2 3" xfId="2340" xr:uid="{00000000-0005-0000-0000-000020090000}"/>
    <cellStyle name="一般 55 3" xfId="2341" xr:uid="{00000000-0005-0000-0000-000021090000}"/>
    <cellStyle name="一般 55 3 2" xfId="2342" xr:uid="{00000000-0005-0000-0000-000022090000}"/>
    <cellStyle name="一般 55 4" xfId="2343" xr:uid="{00000000-0005-0000-0000-000023090000}"/>
    <cellStyle name="一般 56" xfId="2344" xr:uid="{00000000-0005-0000-0000-000024090000}"/>
    <cellStyle name="一般 56 2" xfId="2345" xr:uid="{00000000-0005-0000-0000-000025090000}"/>
    <cellStyle name="一般 56 2 2" xfId="2346" xr:uid="{00000000-0005-0000-0000-000026090000}"/>
    <cellStyle name="一般 56 2 2 2" xfId="2347" xr:uid="{00000000-0005-0000-0000-000027090000}"/>
    <cellStyle name="一般 56 2 3" xfId="2348" xr:uid="{00000000-0005-0000-0000-000028090000}"/>
    <cellStyle name="一般 56 3" xfId="2349" xr:uid="{00000000-0005-0000-0000-000029090000}"/>
    <cellStyle name="一般 56 3 2" xfId="2350" xr:uid="{00000000-0005-0000-0000-00002A090000}"/>
    <cellStyle name="一般 56 4" xfId="2351" xr:uid="{00000000-0005-0000-0000-00002B090000}"/>
    <cellStyle name="一般 57" xfId="2352" xr:uid="{00000000-0005-0000-0000-00002C090000}"/>
    <cellStyle name="一般 57 2" xfId="2353" xr:uid="{00000000-0005-0000-0000-00002D090000}"/>
    <cellStyle name="一般 57 2 2" xfId="2354" xr:uid="{00000000-0005-0000-0000-00002E090000}"/>
    <cellStyle name="一般 57 2 2 2" xfId="2355" xr:uid="{00000000-0005-0000-0000-00002F090000}"/>
    <cellStyle name="一般 57 2 3" xfId="2356" xr:uid="{00000000-0005-0000-0000-000030090000}"/>
    <cellStyle name="一般 57 3" xfId="2357" xr:uid="{00000000-0005-0000-0000-000031090000}"/>
    <cellStyle name="一般 57 3 2" xfId="2358" xr:uid="{00000000-0005-0000-0000-000032090000}"/>
    <cellStyle name="一般 57 4" xfId="2359" xr:uid="{00000000-0005-0000-0000-000033090000}"/>
    <cellStyle name="一般 58" xfId="2360" xr:uid="{00000000-0005-0000-0000-000034090000}"/>
    <cellStyle name="一般 58 2" xfId="2361" xr:uid="{00000000-0005-0000-0000-000035090000}"/>
    <cellStyle name="一般 58 2 2" xfId="2362" xr:uid="{00000000-0005-0000-0000-000036090000}"/>
    <cellStyle name="一般 58 2 2 2" xfId="2363" xr:uid="{00000000-0005-0000-0000-000037090000}"/>
    <cellStyle name="一般 58 2 3" xfId="2364" xr:uid="{00000000-0005-0000-0000-000038090000}"/>
    <cellStyle name="一般 58 3" xfId="2365" xr:uid="{00000000-0005-0000-0000-000039090000}"/>
    <cellStyle name="一般 58 3 2" xfId="2366" xr:uid="{00000000-0005-0000-0000-00003A090000}"/>
    <cellStyle name="一般 58 4" xfId="2367" xr:uid="{00000000-0005-0000-0000-00003B090000}"/>
    <cellStyle name="一般 59" xfId="2368" xr:uid="{00000000-0005-0000-0000-00003C090000}"/>
    <cellStyle name="一般 59 2" xfId="2369" xr:uid="{00000000-0005-0000-0000-00003D090000}"/>
    <cellStyle name="一般 59 2 2" xfId="2370" xr:uid="{00000000-0005-0000-0000-00003E090000}"/>
    <cellStyle name="一般 59 2 2 2" xfId="2371" xr:uid="{00000000-0005-0000-0000-00003F090000}"/>
    <cellStyle name="一般 59 2 3" xfId="2372" xr:uid="{00000000-0005-0000-0000-000040090000}"/>
    <cellStyle name="一般 59 3" xfId="2373" xr:uid="{00000000-0005-0000-0000-000041090000}"/>
    <cellStyle name="一般 59 3 2" xfId="2374" xr:uid="{00000000-0005-0000-0000-000042090000}"/>
    <cellStyle name="一般 59 4" xfId="2375" xr:uid="{00000000-0005-0000-0000-000043090000}"/>
    <cellStyle name="一般 6" xfId="2376" xr:uid="{00000000-0005-0000-0000-000044090000}"/>
    <cellStyle name="一般 6 2" xfId="2377" xr:uid="{00000000-0005-0000-0000-000045090000}"/>
    <cellStyle name="一般 6 2 2" xfId="2378" xr:uid="{00000000-0005-0000-0000-000046090000}"/>
    <cellStyle name="一般 6 2 2 2" xfId="2379" xr:uid="{00000000-0005-0000-0000-000047090000}"/>
    <cellStyle name="一般 6 2 3" xfId="2380" xr:uid="{00000000-0005-0000-0000-000048090000}"/>
    <cellStyle name="一般 6 3" xfId="2381" xr:uid="{00000000-0005-0000-0000-000049090000}"/>
    <cellStyle name="一般 6 3 2" xfId="2382" xr:uid="{00000000-0005-0000-0000-00004A090000}"/>
    <cellStyle name="一般 6 4" xfId="2383" xr:uid="{00000000-0005-0000-0000-00004B090000}"/>
    <cellStyle name="一般 60" xfId="2384" xr:uid="{00000000-0005-0000-0000-00004C090000}"/>
    <cellStyle name="一般 60 2" xfId="2385" xr:uid="{00000000-0005-0000-0000-00004D090000}"/>
    <cellStyle name="一般 60 2 2" xfId="2386" xr:uid="{00000000-0005-0000-0000-00004E090000}"/>
    <cellStyle name="一般 60 2 2 2" xfId="2387" xr:uid="{00000000-0005-0000-0000-00004F090000}"/>
    <cellStyle name="一般 60 2 3" xfId="2388" xr:uid="{00000000-0005-0000-0000-000050090000}"/>
    <cellStyle name="一般 60 3" xfId="2389" xr:uid="{00000000-0005-0000-0000-000051090000}"/>
    <cellStyle name="一般 60 3 2" xfId="2390" xr:uid="{00000000-0005-0000-0000-000052090000}"/>
    <cellStyle name="一般 60 4" xfId="2391" xr:uid="{00000000-0005-0000-0000-000053090000}"/>
    <cellStyle name="一般 61" xfId="2392" xr:uid="{00000000-0005-0000-0000-000054090000}"/>
    <cellStyle name="一般 61 2" xfId="2393" xr:uid="{00000000-0005-0000-0000-000055090000}"/>
    <cellStyle name="一般 61 2 2" xfId="2394" xr:uid="{00000000-0005-0000-0000-000056090000}"/>
    <cellStyle name="一般 61 2 2 2" xfId="2395" xr:uid="{00000000-0005-0000-0000-000057090000}"/>
    <cellStyle name="一般 61 2 3" xfId="2396" xr:uid="{00000000-0005-0000-0000-000058090000}"/>
    <cellStyle name="一般 61 3" xfId="2397" xr:uid="{00000000-0005-0000-0000-000059090000}"/>
    <cellStyle name="一般 61 3 2" xfId="2398" xr:uid="{00000000-0005-0000-0000-00005A090000}"/>
    <cellStyle name="一般 61 4" xfId="2399" xr:uid="{00000000-0005-0000-0000-00005B090000}"/>
    <cellStyle name="一般 62" xfId="2400" xr:uid="{00000000-0005-0000-0000-00005C090000}"/>
    <cellStyle name="一般 62 2" xfId="2401" xr:uid="{00000000-0005-0000-0000-00005D090000}"/>
    <cellStyle name="一般 62 2 2" xfId="2402" xr:uid="{00000000-0005-0000-0000-00005E090000}"/>
    <cellStyle name="一般 62 2 2 2" xfId="2403" xr:uid="{00000000-0005-0000-0000-00005F090000}"/>
    <cellStyle name="一般 62 2 3" xfId="2404" xr:uid="{00000000-0005-0000-0000-000060090000}"/>
    <cellStyle name="一般 62 3" xfId="2405" xr:uid="{00000000-0005-0000-0000-000061090000}"/>
    <cellStyle name="一般 62 3 2" xfId="2406" xr:uid="{00000000-0005-0000-0000-000062090000}"/>
    <cellStyle name="一般 62 4" xfId="2407" xr:uid="{00000000-0005-0000-0000-000063090000}"/>
    <cellStyle name="一般 63" xfId="2408" xr:uid="{00000000-0005-0000-0000-000064090000}"/>
    <cellStyle name="一般 63 2" xfId="2409" xr:uid="{00000000-0005-0000-0000-000065090000}"/>
    <cellStyle name="一般 63 2 2" xfId="2410" xr:uid="{00000000-0005-0000-0000-000066090000}"/>
    <cellStyle name="一般 63 2 2 2" xfId="2411" xr:uid="{00000000-0005-0000-0000-000067090000}"/>
    <cellStyle name="一般 63 2 3" xfId="2412" xr:uid="{00000000-0005-0000-0000-000068090000}"/>
    <cellStyle name="一般 63 3" xfId="2413" xr:uid="{00000000-0005-0000-0000-000069090000}"/>
    <cellStyle name="一般 63 3 2" xfId="2414" xr:uid="{00000000-0005-0000-0000-00006A090000}"/>
    <cellStyle name="一般 63 4" xfId="2415" xr:uid="{00000000-0005-0000-0000-00006B090000}"/>
    <cellStyle name="一般 64" xfId="2416" xr:uid="{00000000-0005-0000-0000-00006C090000}"/>
    <cellStyle name="一般 64 2" xfId="2417" xr:uid="{00000000-0005-0000-0000-00006D090000}"/>
    <cellStyle name="一般 64 2 2" xfId="2418" xr:uid="{00000000-0005-0000-0000-00006E090000}"/>
    <cellStyle name="一般 64 2 2 2" xfId="2419" xr:uid="{00000000-0005-0000-0000-00006F090000}"/>
    <cellStyle name="一般 64 2 3" xfId="2420" xr:uid="{00000000-0005-0000-0000-000070090000}"/>
    <cellStyle name="一般 64 3" xfId="2421" xr:uid="{00000000-0005-0000-0000-000071090000}"/>
    <cellStyle name="一般 64 3 2" xfId="2422" xr:uid="{00000000-0005-0000-0000-000072090000}"/>
    <cellStyle name="一般 64 4" xfId="2423" xr:uid="{00000000-0005-0000-0000-000073090000}"/>
    <cellStyle name="一般 65" xfId="2424" xr:uid="{00000000-0005-0000-0000-000074090000}"/>
    <cellStyle name="一般 65 2" xfId="2425" xr:uid="{00000000-0005-0000-0000-000075090000}"/>
    <cellStyle name="一般 65 2 2" xfId="2426" xr:uid="{00000000-0005-0000-0000-000076090000}"/>
    <cellStyle name="一般 65 2 2 2" xfId="2427" xr:uid="{00000000-0005-0000-0000-000077090000}"/>
    <cellStyle name="一般 65 2 3" xfId="2428" xr:uid="{00000000-0005-0000-0000-000078090000}"/>
    <cellStyle name="一般 65 3" xfId="2429" xr:uid="{00000000-0005-0000-0000-000079090000}"/>
    <cellStyle name="一般 65 3 2" xfId="2430" xr:uid="{00000000-0005-0000-0000-00007A090000}"/>
    <cellStyle name="一般 65 4" xfId="2431" xr:uid="{00000000-0005-0000-0000-00007B090000}"/>
    <cellStyle name="一般 66" xfId="2432" xr:uid="{00000000-0005-0000-0000-00007C090000}"/>
    <cellStyle name="一般 66 2" xfId="2433" xr:uid="{00000000-0005-0000-0000-00007D090000}"/>
    <cellStyle name="一般 66 2 2" xfId="2434" xr:uid="{00000000-0005-0000-0000-00007E090000}"/>
    <cellStyle name="一般 66 2 2 2" xfId="2435" xr:uid="{00000000-0005-0000-0000-00007F090000}"/>
    <cellStyle name="一般 66 2 3" xfId="2436" xr:uid="{00000000-0005-0000-0000-000080090000}"/>
    <cellStyle name="一般 66 3" xfId="2437" xr:uid="{00000000-0005-0000-0000-000081090000}"/>
    <cellStyle name="一般 66 3 2" xfId="2438" xr:uid="{00000000-0005-0000-0000-000082090000}"/>
    <cellStyle name="一般 66 4" xfId="2439" xr:uid="{00000000-0005-0000-0000-000083090000}"/>
    <cellStyle name="一般 67" xfId="2440" xr:uid="{00000000-0005-0000-0000-000084090000}"/>
    <cellStyle name="一般 67 2" xfId="2441" xr:uid="{00000000-0005-0000-0000-000085090000}"/>
    <cellStyle name="一般 67 2 2" xfId="2442" xr:uid="{00000000-0005-0000-0000-000086090000}"/>
    <cellStyle name="一般 67 2 2 2" xfId="2443" xr:uid="{00000000-0005-0000-0000-000087090000}"/>
    <cellStyle name="一般 67 2 3" xfId="2444" xr:uid="{00000000-0005-0000-0000-000088090000}"/>
    <cellStyle name="一般 67 3" xfId="2445" xr:uid="{00000000-0005-0000-0000-000089090000}"/>
    <cellStyle name="一般 67 3 2" xfId="2446" xr:uid="{00000000-0005-0000-0000-00008A090000}"/>
    <cellStyle name="一般 67 4" xfId="2447" xr:uid="{00000000-0005-0000-0000-00008B090000}"/>
    <cellStyle name="一般 68" xfId="2448" xr:uid="{00000000-0005-0000-0000-00008C090000}"/>
    <cellStyle name="一般 68 2" xfId="2449" xr:uid="{00000000-0005-0000-0000-00008D090000}"/>
    <cellStyle name="一般 68 2 2" xfId="2450" xr:uid="{00000000-0005-0000-0000-00008E090000}"/>
    <cellStyle name="一般 68 2 2 2" xfId="2451" xr:uid="{00000000-0005-0000-0000-00008F090000}"/>
    <cellStyle name="一般 68 2 3" xfId="2452" xr:uid="{00000000-0005-0000-0000-000090090000}"/>
    <cellStyle name="一般 68 3" xfId="2453" xr:uid="{00000000-0005-0000-0000-000091090000}"/>
    <cellStyle name="一般 68 3 2" xfId="2454" xr:uid="{00000000-0005-0000-0000-000092090000}"/>
    <cellStyle name="一般 68 4" xfId="2455" xr:uid="{00000000-0005-0000-0000-000093090000}"/>
    <cellStyle name="一般 69" xfId="2456" xr:uid="{00000000-0005-0000-0000-000094090000}"/>
    <cellStyle name="一般 69 2" xfId="2457" xr:uid="{00000000-0005-0000-0000-000095090000}"/>
    <cellStyle name="一般 69 2 2" xfId="2458" xr:uid="{00000000-0005-0000-0000-000096090000}"/>
    <cellStyle name="一般 69 2 2 2" xfId="2459" xr:uid="{00000000-0005-0000-0000-000097090000}"/>
    <cellStyle name="一般 69 2 3" xfId="2460" xr:uid="{00000000-0005-0000-0000-000098090000}"/>
    <cellStyle name="一般 69 3" xfId="2461" xr:uid="{00000000-0005-0000-0000-000099090000}"/>
    <cellStyle name="一般 69 3 2" xfId="2462" xr:uid="{00000000-0005-0000-0000-00009A090000}"/>
    <cellStyle name="一般 69 4" xfId="2463" xr:uid="{00000000-0005-0000-0000-00009B090000}"/>
    <cellStyle name="一般 7" xfId="2464" xr:uid="{00000000-0005-0000-0000-00009C090000}"/>
    <cellStyle name="一般 7 2" xfId="2465" xr:uid="{00000000-0005-0000-0000-00009D090000}"/>
    <cellStyle name="一般 7 2 2" xfId="2466" xr:uid="{00000000-0005-0000-0000-00009E090000}"/>
    <cellStyle name="一般 7 2 2 2" xfId="2467" xr:uid="{00000000-0005-0000-0000-00009F090000}"/>
    <cellStyle name="一般 7 2 3" xfId="2468" xr:uid="{00000000-0005-0000-0000-0000A0090000}"/>
    <cellStyle name="一般 7 3" xfId="2469" xr:uid="{00000000-0005-0000-0000-0000A1090000}"/>
    <cellStyle name="一般 7 3 2" xfId="2470" xr:uid="{00000000-0005-0000-0000-0000A2090000}"/>
    <cellStyle name="一般 7 4" xfId="2471" xr:uid="{00000000-0005-0000-0000-0000A3090000}"/>
    <cellStyle name="一般 70" xfId="2472" xr:uid="{00000000-0005-0000-0000-0000A4090000}"/>
    <cellStyle name="一般 70 2" xfId="2473" xr:uid="{00000000-0005-0000-0000-0000A5090000}"/>
    <cellStyle name="一般 70 2 2" xfId="2474" xr:uid="{00000000-0005-0000-0000-0000A6090000}"/>
    <cellStyle name="一般 70 2 2 2" xfId="2475" xr:uid="{00000000-0005-0000-0000-0000A7090000}"/>
    <cellStyle name="一般 70 2 3" xfId="2476" xr:uid="{00000000-0005-0000-0000-0000A8090000}"/>
    <cellStyle name="一般 70 3" xfId="2477" xr:uid="{00000000-0005-0000-0000-0000A9090000}"/>
    <cellStyle name="一般 70 3 2" xfId="2478" xr:uid="{00000000-0005-0000-0000-0000AA090000}"/>
    <cellStyle name="一般 70 4" xfId="2479" xr:uid="{00000000-0005-0000-0000-0000AB090000}"/>
    <cellStyle name="一般 71" xfId="2480" xr:uid="{00000000-0005-0000-0000-0000AC090000}"/>
    <cellStyle name="一般 71 2" xfId="2481" xr:uid="{00000000-0005-0000-0000-0000AD090000}"/>
    <cellStyle name="一般 71 2 2" xfId="2482" xr:uid="{00000000-0005-0000-0000-0000AE090000}"/>
    <cellStyle name="一般 71 2 2 2" xfId="2483" xr:uid="{00000000-0005-0000-0000-0000AF090000}"/>
    <cellStyle name="一般 71 2 3" xfId="2484" xr:uid="{00000000-0005-0000-0000-0000B0090000}"/>
    <cellStyle name="一般 71 3" xfId="2485" xr:uid="{00000000-0005-0000-0000-0000B1090000}"/>
    <cellStyle name="一般 71 3 2" xfId="2486" xr:uid="{00000000-0005-0000-0000-0000B2090000}"/>
    <cellStyle name="一般 71 4" xfId="2487" xr:uid="{00000000-0005-0000-0000-0000B3090000}"/>
    <cellStyle name="一般 72" xfId="2488" xr:uid="{00000000-0005-0000-0000-0000B4090000}"/>
    <cellStyle name="一般 72 2" xfId="2489" xr:uid="{00000000-0005-0000-0000-0000B5090000}"/>
    <cellStyle name="一般 72 2 2" xfId="2490" xr:uid="{00000000-0005-0000-0000-0000B6090000}"/>
    <cellStyle name="一般 72 2 2 2" xfId="2491" xr:uid="{00000000-0005-0000-0000-0000B7090000}"/>
    <cellStyle name="一般 72 2 3" xfId="2492" xr:uid="{00000000-0005-0000-0000-0000B8090000}"/>
    <cellStyle name="一般 72 3" xfId="2493" xr:uid="{00000000-0005-0000-0000-0000B9090000}"/>
    <cellStyle name="一般 72 3 2" xfId="2494" xr:uid="{00000000-0005-0000-0000-0000BA090000}"/>
    <cellStyle name="一般 72 4" xfId="2495" xr:uid="{00000000-0005-0000-0000-0000BB090000}"/>
    <cellStyle name="一般 73" xfId="2496" xr:uid="{00000000-0005-0000-0000-0000BC090000}"/>
    <cellStyle name="一般 73 2" xfId="2497" xr:uid="{00000000-0005-0000-0000-0000BD090000}"/>
    <cellStyle name="一般 73 2 2" xfId="2498" xr:uid="{00000000-0005-0000-0000-0000BE090000}"/>
    <cellStyle name="一般 73 2 2 2" xfId="2499" xr:uid="{00000000-0005-0000-0000-0000BF090000}"/>
    <cellStyle name="一般 73 2 3" xfId="2500" xr:uid="{00000000-0005-0000-0000-0000C0090000}"/>
    <cellStyle name="一般 73 3" xfId="2501" xr:uid="{00000000-0005-0000-0000-0000C1090000}"/>
    <cellStyle name="一般 73 3 2" xfId="2502" xr:uid="{00000000-0005-0000-0000-0000C2090000}"/>
    <cellStyle name="一般 73 4" xfId="2503" xr:uid="{00000000-0005-0000-0000-0000C3090000}"/>
    <cellStyle name="一般 74" xfId="2504" xr:uid="{00000000-0005-0000-0000-0000C4090000}"/>
    <cellStyle name="一般 74 2" xfId="2505" xr:uid="{00000000-0005-0000-0000-0000C5090000}"/>
    <cellStyle name="一般 74 2 2" xfId="2506" xr:uid="{00000000-0005-0000-0000-0000C6090000}"/>
    <cellStyle name="一般 74 2 2 2" xfId="2507" xr:uid="{00000000-0005-0000-0000-0000C7090000}"/>
    <cellStyle name="一般 74 2 3" xfId="2508" xr:uid="{00000000-0005-0000-0000-0000C8090000}"/>
    <cellStyle name="一般 74 3" xfId="2509" xr:uid="{00000000-0005-0000-0000-0000C9090000}"/>
    <cellStyle name="一般 74 3 2" xfId="2510" xr:uid="{00000000-0005-0000-0000-0000CA090000}"/>
    <cellStyle name="一般 74 4" xfId="2511" xr:uid="{00000000-0005-0000-0000-0000CB090000}"/>
    <cellStyle name="一般 75" xfId="2512" xr:uid="{00000000-0005-0000-0000-0000CC090000}"/>
    <cellStyle name="一般 75 2" xfId="2513" xr:uid="{00000000-0005-0000-0000-0000CD090000}"/>
    <cellStyle name="一般 75 2 2" xfId="2514" xr:uid="{00000000-0005-0000-0000-0000CE090000}"/>
    <cellStyle name="一般 75 2 2 2" xfId="2515" xr:uid="{00000000-0005-0000-0000-0000CF090000}"/>
    <cellStyle name="一般 75 2 3" xfId="2516" xr:uid="{00000000-0005-0000-0000-0000D0090000}"/>
    <cellStyle name="一般 75 3" xfId="2517" xr:uid="{00000000-0005-0000-0000-0000D1090000}"/>
    <cellStyle name="一般 75 3 2" xfId="2518" xr:uid="{00000000-0005-0000-0000-0000D2090000}"/>
    <cellStyle name="一般 75 4" xfId="2519" xr:uid="{00000000-0005-0000-0000-0000D3090000}"/>
    <cellStyle name="一般 76" xfId="2520" xr:uid="{00000000-0005-0000-0000-0000D4090000}"/>
    <cellStyle name="一般 76 2" xfId="2521" xr:uid="{00000000-0005-0000-0000-0000D5090000}"/>
    <cellStyle name="一般 76 2 2" xfId="2522" xr:uid="{00000000-0005-0000-0000-0000D6090000}"/>
    <cellStyle name="一般 76 2 2 2" xfId="2523" xr:uid="{00000000-0005-0000-0000-0000D7090000}"/>
    <cellStyle name="一般 76 2 3" xfId="2524" xr:uid="{00000000-0005-0000-0000-0000D8090000}"/>
    <cellStyle name="一般 76 3" xfId="2525" xr:uid="{00000000-0005-0000-0000-0000D9090000}"/>
    <cellStyle name="一般 76 3 2" xfId="2526" xr:uid="{00000000-0005-0000-0000-0000DA090000}"/>
    <cellStyle name="一般 76 4" xfId="2527" xr:uid="{00000000-0005-0000-0000-0000DB090000}"/>
    <cellStyle name="一般 77" xfId="2528" xr:uid="{00000000-0005-0000-0000-0000DC090000}"/>
    <cellStyle name="一般 77 2" xfId="2529" xr:uid="{00000000-0005-0000-0000-0000DD090000}"/>
    <cellStyle name="一般 77 2 2" xfId="2530" xr:uid="{00000000-0005-0000-0000-0000DE090000}"/>
    <cellStyle name="一般 77 2 2 2" xfId="2531" xr:uid="{00000000-0005-0000-0000-0000DF090000}"/>
    <cellStyle name="一般 77 2 3" xfId="2532" xr:uid="{00000000-0005-0000-0000-0000E0090000}"/>
    <cellStyle name="一般 77 3" xfId="2533" xr:uid="{00000000-0005-0000-0000-0000E1090000}"/>
    <cellStyle name="一般 77 3 2" xfId="2534" xr:uid="{00000000-0005-0000-0000-0000E2090000}"/>
    <cellStyle name="一般 77 4" xfId="2535" xr:uid="{00000000-0005-0000-0000-0000E3090000}"/>
    <cellStyle name="一般 78" xfId="2536" xr:uid="{00000000-0005-0000-0000-0000E4090000}"/>
    <cellStyle name="一般 78 2" xfId="2537" xr:uid="{00000000-0005-0000-0000-0000E5090000}"/>
    <cellStyle name="一般 78 2 2" xfId="2538" xr:uid="{00000000-0005-0000-0000-0000E6090000}"/>
    <cellStyle name="一般 78 2 2 2" xfId="2539" xr:uid="{00000000-0005-0000-0000-0000E7090000}"/>
    <cellStyle name="一般 78 2 3" xfId="2540" xr:uid="{00000000-0005-0000-0000-0000E8090000}"/>
    <cellStyle name="一般 78 3" xfId="2541" xr:uid="{00000000-0005-0000-0000-0000E9090000}"/>
    <cellStyle name="一般 78 3 2" xfId="2542" xr:uid="{00000000-0005-0000-0000-0000EA090000}"/>
    <cellStyle name="一般 78 4" xfId="2543" xr:uid="{00000000-0005-0000-0000-0000EB090000}"/>
    <cellStyle name="一般 79" xfId="2544" xr:uid="{00000000-0005-0000-0000-0000EC090000}"/>
    <cellStyle name="一般 79 2" xfId="2545" xr:uid="{00000000-0005-0000-0000-0000ED090000}"/>
    <cellStyle name="一般 79 2 2" xfId="2546" xr:uid="{00000000-0005-0000-0000-0000EE090000}"/>
    <cellStyle name="一般 79 2 2 2" xfId="2547" xr:uid="{00000000-0005-0000-0000-0000EF090000}"/>
    <cellStyle name="一般 79 2 3" xfId="2548" xr:uid="{00000000-0005-0000-0000-0000F0090000}"/>
    <cellStyle name="一般 79 3" xfId="2549" xr:uid="{00000000-0005-0000-0000-0000F1090000}"/>
    <cellStyle name="一般 79 3 2" xfId="2550" xr:uid="{00000000-0005-0000-0000-0000F2090000}"/>
    <cellStyle name="一般 79 4" xfId="2551" xr:uid="{00000000-0005-0000-0000-0000F3090000}"/>
    <cellStyle name="一般 8" xfId="2552" xr:uid="{00000000-0005-0000-0000-0000F4090000}"/>
    <cellStyle name="一般 8 2" xfId="2553" xr:uid="{00000000-0005-0000-0000-0000F5090000}"/>
    <cellStyle name="一般 8 2 2" xfId="2554" xr:uid="{00000000-0005-0000-0000-0000F6090000}"/>
    <cellStyle name="一般 8 2 2 2" xfId="2555" xr:uid="{00000000-0005-0000-0000-0000F7090000}"/>
    <cellStyle name="一般 8 2 3" xfId="2556" xr:uid="{00000000-0005-0000-0000-0000F8090000}"/>
    <cellStyle name="一般 8 3" xfId="2557" xr:uid="{00000000-0005-0000-0000-0000F9090000}"/>
    <cellStyle name="一般 8 3 2" xfId="2558" xr:uid="{00000000-0005-0000-0000-0000FA090000}"/>
    <cellStyle name="一般 8 4" xfId="2559" xr:uid="{00000000-0005-0000-0000-0000FB090000}"/>
    <cellStyle name="一般 80" xfId="2560" xr:uid="{00000000-0005-0000-0000-0000FC090000}"/>
    <cellStyle name="一般 80 2" xfId="2561" xr:uid="{00000000-0005-0000-0000-0000FD090000}"/>
    <cellStyle name="一般 80 2 2" xfId="2562" xr:uid="{00000000-0005-0000-0000-0000FE090000}"/>
    <cellStyle name="一般 80 2 2 2" xfId="2563" xr:uid="{00000000-0005-0000-0000-0000FF090000}"/>
    <cellStyle name="一般 80 2 3" xfId="2564" xr:uid="{00000000-0005-0000-0000-0000000A0000}"/>
    <cellStyle name="一般 80 3" xfId="2565" xr:uid="{00000000-0005-0000-0000-0000010A0000}"/>
    <cellStyle name="一般 80 3 2" xfId="2566" xr:uid="{00000000-0005-0000-0000-0000020A0000}"/>
    <cellStyle name="一般 80 4" xfId="2567" xr:uid="{00000000-0005-0000-0000-0000030A0000}"/>
    <cellStyle name="一般 81" xfId="2568" xr:uid="{00000000-0005-0000-0000-0000040A0000}"/>
    <cellStyle name="一般 81 2" xfId="2569" xr:uid="{00000000-0005-0000-0000-0000050A0000}"/>
    <cellStyle name="一般 81 2 2" xfId="2570" xr:uid="{00000000-0005-0000-0000-0000060A0000}"/>
    <cellStyle name="一般 81 2 2 2" xfId="2571" xr:uid="{00000000-0005-0000-0000-0000070A0000}"/>
    <cellStyle name="一般 81 2 3" xfId="2572" xr:uid="{00000000-0005-0000-0000-0000080A0000}"/>
    <cellStyle name="一般 81 3" xfId="2573" xr:uid="{00000000-0005-0000-0000-0000090A0000}"/>
    <cellStyle name="一般 81 3 2" xfId="2574" xr:uid="{00000000-0005-0000-0000-00000A0A0000}"/>
    <cellStyle name="一般 81 4" xfId="2575" xr:uid="{00000000-0005-0000-0000-00000B0A0000}"/>
    <cellStyle name="一般 82" xfId="2576" xr:uid="{00000000-0005-0000-0000-00000C0A0000}"/>
    <cellStyle name="一般 82 2" xfId="2577" xr:uid="{00000000-0005-0000-0000-00000D0A0000}"/>
    <cellStyle name="一般 82 2 2" xfId="2578" xr:uid="{00000000-0005-0000-0000-00000E0A0000}"/>
    <cellStyle name="一般 82 2 2 2" xfId="2579" xr:uid="{00000000-0005-0000-0000-00000F0A0000}"/>
    <cellStyle name="一般 82 2 3" xfId="2580" xr:uid="{00000000-0005-0000-0000-0000100A0000}"/>
    <cellStyle name="一般 82 3" xfId="2581" xr:uid="{00000000-0005-0000-0000-0000110A0000}"/>
    <cellStyle name="一般 82 3 2" xfId="2582" xr:uid="{00000000-0005-0000-0000-0000120A0000}"/>
    <cellStyle name="一般 82 4" xfId="2583" xr:uid="{00000000-0005-0000-0000-0000130A0000}"/>
    <cellStyle name="一般 83" xfId="2584" xr:uid="{00000000-0005-0000-0000-0000140A0000}"/>
    <cellStyle name="一般 83 2" xfId="2585" xr:uid="{00000000-0005-0000-0000-0000150A0000}"/>
    <cellStyle name="一般 83 2 2" xfId="2586" xr:uid="{00000000-0005-0000-0000-0000160A0000}"/>
    <cellStyle name="一般 83 2 2 2" xfId="2587" xr:uid="{00000000-0005-0000-0000-0000170A0000}"/>
    <cellStyle name="一般 83 2 3" xfId="2588" xr:uid="{00000000-0005-0000-0000-0000180A0000}"/>
    <cellStyle name="一般 83 3" xfId="2589" xr:uid="{00000000-0005-0000-0000-0000190A0000}"/>
    <cellStyle name="一般 83 3 2" xfId="2590" xr:uid="{00000000-0005-0000-0000-00001A0A0000}"/>
    <cellStyle name="一般 83 4" xfId="2591" xr:uid="{00000000-0005-0000-0000-00001B0A0000}"/>
    <cellStyle name="一般 84" xfId="2592" xr:uid="{00000000-0005-0000-0000-00001C0A0000}"/>
    <cellStyle name="一般 84 2" xfId="2593" xr:uid="{00000000-0005-0000-0000-00001D0A0000}"/>
    <cellStyle name="一般 84 2 2" xfId="2594" xr:uid="{00000000-0005-0000-0000-00001E0A0000}"/>
    <cellStyle name="一般 84 2 2 2" xfId="2595" xr:uid="{00000000-0005-0000-0000-00001F0A0000}"/>
    <cellStyle name="一般 84 2 3" xfId="2596" xr:uid="{00000000-0005-0000-0000-0000200A0000}"/>
    <cellStyle name="一般 84 3" xfId="2597" xr:uid="{00000000-0005-0000-0000-0000210A0000}"/>
    <cellStyle name="一般 84 3 2" xfId="2598" xr:uid="{00000000-0005-0000-0000-0000220A0000}"/>
    <cellStyle name="一般 84 4" xfId="2599" xr:uid="{00000000-0005-0000-0000-0000230A0000}"/>
    <cellStyle name="一般 85" xfId="2600" xr:uid="{00000000-0005-0000-0000-0000240A0000}"/>
    <cellStyle name="一般 85 2" xfId="2601" xr:uid="{00000000-0005-0000-0000-0000250A0000}"/>
    <cellStyle name="一般 85 2 2" xfId="2602" xr:uid="{00000000-0005-0000-0000-0000260A0000}"/>
    <cellStyle name="一般 85 2 2 2" xfId="2603" xr:uid="{00000000-0005-0000-0000-0000270A0000}"/>
    <cellStyle name="一般 85 2 3" xfId="2604" xr:uid="{00000000-0005-0000-0000-0000280A0000}"/>
    <cellStyle name="一般 85 3" xfId="2605" xr:uid="{00000000-0005-0000-0000-0000290A0000}"/>
    <cellStyle name="一般 85 3 2" xfId="2606" xr:uid="{00000000-0005-0000-0000-00002A0A0000}"/>
    <cellStyle name="一般 85 4" xfId="2607" xr:uid="{00000000-0005-0000-0000-00002B0A0000}"/>
    <cellStyle name="一般 86" xfId="2608" xr:uid="{00000000-0005-0000-0000-00002C0A0000}"/>
    <cellStyle name="一般 86 2" xfId="2609" xr:uid="{00000000-0005-0000-0000-00002D0A0000}"/>
    <cellStyle name="一般 86 2 2" xfId="2610" xr:uid="{00000000-0005-0000-0000-00002E0A0000}"/>
    <cellStyle name="一般 86 2 2 2" xfId="2611" xr:uid="{00000000-0005-0000-0000-00002F0A0000}"/>
    <cellStyle name="一般 86 2 3" xfId="2612" xr:uid="{00000000-0005-0000-0000-0000300A0000}"/>
    <cellStyle name="一般 86 3" xfId="2613" xr:uid="{00000000-0005-0000-0000-0000310A0000}"/>
    <cellStyle name="一般 86 3 2" xfId="2614" xr:uid="{00000000-0005-0000-0000-0000320A0000}"/>
    <cellStyle name="一般 86 4" xfId="2615" xr:uid="{00000000-0005-0000-0000-0000330A0000}"/>
    <cellStyle name="一般 87" xfId="2616" xr:uid="{00000000-0005-0000-0000-0000340A0000}"/>
    <cellStyle name="一般 87 2" xfId="2617" xr:uid="{00000000-0005-0000-0000-0000350A0000}"/>
    <cellStyle name="一般 87 2 2" xfId="2618" xr:uid="{00000000-0005-0000-0000-0000360A0000}"/>
    <cellStyle name="一般 87 2 2 2" xfId="2619" xr:uid="{00000000-0005-0000-0000-0000370A0000}"/>
    <cellStyle name="一般 87 2 3" xfId="2620" xr:uid="{00000000-0005-0000-0000-0000380A0000}"/>
    <cellStyle name="一般 87 3" xfId="2621" xr:uid="{00000000-0005-0000-0000-0000390A0000}"/>
    <cellStyle name="一般 87 3 2" xfId="2622" xr:uid="{00000000-0005-0000-0000-00003A0A0000}"/>
    <cellStyle name="一般 87 4" xfId="2623" xr:uid="{00000000-0005-0000-0000-00003B0A0000}"/>
    <cellStyle name="一般 88" xfId="2624" xr:uid="{00000000-0005-0000-0000-00003C0A0000}"/>
    <cellStyle name="一般 88 2" xfId="2625" xr:uid="{00000000-0005-0000-0000-00003D0A0000}"/>
    <cellStyle name="一般 88 2 2" xfId="2626" xr:uid="{00000000-0005-0000-0000-00003E0A0000}"/>
    <cellStyle name="一般 88 2 2 2" xfId="2627" xr:uid="{00000000-0005-0000-0000-00003F0A0000}"/>
    <cellStyle name="一般 88 2 3" xfId="2628" xr:uid="{00000000-0005-0000-0000-0000400A0000}"/>
    <cellStyle name="一般 88 3" xfId="2629" xr:uid="{00000000-0005-0000-0000-0000410A0000}"/>
    <cellStyle name="一般 88 3 2" xfId="2630" xr:uid="{00000000-0005-0000-0000-0000420A0000}"/>
    <cellStyle name="一般 88 4" xfId="2631" xr:uid="{00000000-0005-0000-0000-0000430A0000}"/>
    <cellStyle name="一般 89" xfId="2632" xr:uid="{00000000-0005-0000-0000-0000440A0000}"/>
    <cellStyle name="一般 89 2" xfId="2633" xr:uid="{00000000-0005-0000-0000-0000450A0000}"/>
    <cellStyle name="一般 89 2 2" xfId="2634" xr:uid="{00000000-0005-0000-0000-0000460A0000}"/>
    <cellStyle name="一般 89 2 2 2" xfId="2635" xr:uid="{00000000-0005-0000-0000-0000470A0000}"/>
    <cellStyle name="一般 89 2 3" xfId="2636" xr:uid="{00000000-0005-0000-0000-0000480A0000}"/>
    <cellStyle name="一般 89 3" xfId="2637" xr:uid="{00000000-0005-0000-0000-0000490A0000}"/>
    <cellStyle name="一般 89 3 2" xfId="2638" xr:uid="{00000000-0005-0000-0000-00004A0A0000}"/>
    <cellStyle name="一般 89 4" xfId="2639" xr:uid="{00000000-0005-0000-0000-00004B0A0000}"/>
    <cellStyle name="一般 9" xfId="2640" xr:uid="{00000000-0005-0000-0000-00004C0A0000}"/>
    <cellStyle name="一般 9 2" xfId="2641" xr:uid="{00000000-0005-0000-0000-00004D0A0000}"/>
    <cellStyle name="一般 9 2 2" xfId="2642" xr:uid="{00000000-0005-0000-0000-00004E0A0000}"/>
    <cellStyle name="一般 9 2 2 2" xfId="2643" xr:uid="{00000000-0005-0000-0000-00004F0A0000}"/>
    <cellStyle name="一般 9 2 3" xfId="2644" xr:uid="{00000000-0005-0000-0000-0000500A0000}"/>
    <cellStyle name="一般 9 3" xfId="2645" xr:uid="{00000000-0005-0000-0000-0000510A0000}"/>
    <cellStyle name="一般 9 3 2" xfId="2646" xr:uid="{00000000-0005-0000-0000-0000520A0000}"/>
    <cellStyle name="一般 9 4" xfId="2647" xr:uid="{00000000-0005-0000-0000-0000530A0000}"/>
    <cellStyle name="一般 90" xfId="2648" xr:uid="{00000000-0005-0000-0000-0000540A0000}"/>
    <cellStyle name="一般 90 2" xfId="2649" xr:uid="{00000000-0005-0000-0000-0000550A0000}"/>
    <cellStyle name="一般 90 2 2" xfId="2650" xr:uid="{00000000-0005-0000-0000-0000560A0000}"/>
    <cellStyle name="一般 90 2 2 2" xfId="2651" xr:uid="{00000000-0005-0000-0000-0000570A0000}"/>
    <cellStyle name="一般 90 2 3" xfId="2652" xr:uid="{00000000-0005-0000-0000-0000580A0000}"/>
    <cellStyle name="一般 90 3" xfId="2653" xr:uid="{00000000-0005-0000-0000-0000590A0000}"/>
    <cellStyle name="一般 90 3 2" xfId="2654" xr:uid="{00000000-0005-0000-0000-00005A0A0000}"/>
    <cellStyle name="一般 90 4" xfId="2655" xr:uid="{00000000-0005-0000-0000-00005B0A0000}"/>
    <cellStyle name="一般 91" xfId="2656" xr:uid="{00000000-0005-0000-0000-00005C0A0000}"/>
    <cellStyle name="一般 91 2" xfId="2657" xr:uid="{00000000-0005-0000-0000-00005D0A0000}"/>
    <cellStyle name="一般 91 2 2" xfId="2658" xr:uid="{00000000-0005-0000-0000-00005E0A0000}"/>
    <cellStyle name="一般 91 2 2 2" xfId="2659" xr:uid="{00000000-0005-0000-0000-00005F0A0000}"/>
    <cellStyle name="一般 91 2 3" xfId="2660" xr:uid="{00000000-0005-0000-0000-0000600A0000}"/>
    <cellStyle name="一般 91 3" xfId="2661" xr:uid="{00000000-0005-0000-0000-0000610A0000}"/>
    <cellStyle name="一般 91 3 2" xfId="2662" xr:uid="{00000000-0005-0000-0000-0000620A0000}"/>
    <cellStyle name="一般 91 4" xfId="2663" xr:uid="{00000000-0005-0000-0000-0000630A0000}"/>
    <cellStyle name="一般 92" xfId="2664" xr:uid="{00000000-0005-0000-0000-0000640A0000}"/>
    <cellStyle name="一般 92 2" xfId="2665" xr:uid="{00000000-0005-0000-0000-0000650A0000}"/>
    <cellStyle name="一般 92 2 2" xfId="2666" xr:uid="{00000000-0005-0000-0000-0000660A0000}"/>
    <cellStyle name="一般 92 2 2 2" xfId="2667" xr:uid="{00000000-0005-0000-0000-0000670A0000}"/>
    <cellStyle name="一般 92 2 3" xfId="2668" xr:uid="{00000000-0005-0000-0000-0000680A0000}"/>
    <cellStyle name="一般 92 3" xfId="2669" xr:uid="{00000000-0005-0000-0000-0000690A0000}"/>
    <cellStyle name="一般 92 3 2" xfId="2670" xr:uid="{00000000-0005-0000-0000-00006A0A0000}"/>
    <cellStyle name="一般 92 4" xfId="2671" xr:uid="{00000000-0005-0000-0000-00006B0A0000}"/>
    <cellStyle name="一般 93" xfId="2672" xr:uid="{00000000-0005-0000-0000-00006C0A0000}"/>
    <cellStyle name="一般 93 2" xfId="2673" xr:uid="{00000000-0005-0000-0000-00006D0A0000}"/>
    <cellStyle name="一般 93 2 2" xfId="2674" xr:uid="{00000000-0005-0000-0000-00006E0A0000}"/>
    <cellStyle name="一般 93 2 2 2" xfId="2675" xr:uid="{00000000-0005-0000-0000-00006F0A0000}"/>
    <cellStyle name="一般 93 2 3" xfId="2676" xr:uid="{00000000-0005-0000-0000-0000700A0000}"/>
    <cellStyle name="一般 93 3" xfId="2677" xr:uid="{00000000-0005-0000-0000-0000710A0000}"/>
    <cellStyle name="一般 93 3 2" xfId="2678" xr:uid="{00000000-0005-0000-0000-0000720A0000}"/>
    <cellStyle name="一般 93 4" xfId="2679" xr:uid="{00000000-0005-0000-0000-0000730A0000}"/>
    <cellStyle name="一般 94" xfId="2680" xr:uid="{00000000-0005-0000-0000-0000740A0000}"/>
    <cellStyle name="一般 94 2" xfId="2681" xr:uid="{00000000-0005-0000-0000-0000750A0000}"/>
    <cellStyle name="一般 94 2 2" xfId="2682" xr:uid="{00000000-0005-0000-0000-0000760A0000}"/>
    <cellStyle name="一般 94 2 2 2" xfId="2683" xr:uid="{00000000-0005-0000-0000-0000770A0000}"/>
    <cellStyle name="一般 94 2 3" xfId="2684" xr:uid="{00000000-0005-0000-0000-0000780A0000}"/>
    <cellStyle name="一般 94 3" xfId="2685" xr:uid="{00000000-0005-0000-0000-0000790A0000}"/>
    <cellStyle name="一般 94 3 2" xfId="2686" xr:uid="{00000000-0005-0000-0000-00007A0A0000}"/>
    <cellStyle name="一般 94 4" xfId="2687" xr:uid="{00000000-0005-0000-0000-00007B0A0000}"/>
    <cellStyle name="一般 95" xfId="2688" xr:uid="{00000000-0005-0000-0000-00007C0A0000}"/>
    <cellStyle name="一般 95 2" xfId="2689" xr:uid="{00000000-0005-0000-0000-00007D0A0000}"/>
    <cellStyle name="一般 95 2 2" xfId="2690" xr:uid="{00000000-0005-0000-0000-00007E0A0000}"/>
    <cellStyle name="一般 95 2 2 2" xfId="2691" xr:uid="{00000000-0005-0000-0000-00007F0A0000}"/>
    <cellStyle name="一般 95 2 3" xfId="2692" xr:uid="{00000000-0005-0000-0000-0000800A0000}"/>
    <cellStyle name="一般 95 3" xfId="2693" xr:uid="{00000000-0005-0000-0000-0000810A0000}"/>
    <cellStyle name="一般 95 3 2" xfId="2694" xr:uid="{00000000-0005-0000-0000-0000820A0000}"/>
    <cellStyle name="一般 95 4" xfId="2695" xr:uid="{00000000-0005-0000-0000-0000830A0000}"/>
    <cellStyle name="一般 96" xfId="2696" xr:uid="{00000000-0005-0000-0000-0000840A0000}"/>
    <cellStyle name="一般 96 2" xfId="2697" xr:uid="{00000000-0005-0000-0000-0000850A0000}"/>
    <cellStyle name="一般 96 2 2" xfId="2698" xr:uid="{00000000-0005-0000-0000-0000860A0000}"/>
    <cellStyle name="一般 96 2 2 2" xfId="2699" xr:uid="{00000000-0005-0000-0000-0000870A0000}"/>
    <cellStyle name="一般 96 2 3" xfId="2700" xr:uid="{00000000-0005-0000-0000-0000880A0000}"/>
    <cellStyle name="一般 96 3" xfId="2701" xr:uid="{00000000-0005-0000-0000-0000890A0000}"/>
    <cellStyle name="一般 96 3 2" xfId="2702" xr:uid="{00000000-0005-0000-0000-00008A0A0000}"/>
    <cellStyle name="一般 96 4" xfId="2703" xr:uid="{00000000-0005-0000-0000-00008B0A0000}"/>
    <cellStyle name="一般 97" xfId="2704" xr:uid="{00000000-0005-0000-0000-00008C0A0000}"/>
    <cellStyle name="一般 97 2" xfId="2705" xr:uid="{00000000-0005-0000-0000-00008D0A0000}"/>
    <cellStyle name="一般 97 2 2" xfId="2706" xr:uid="{00000000-0005-0000-0000-00008E0A0000}"/>
    <cellStyle name="一般 97 2 2 2" xfId="2707" xr:uid="{00000000-0005-0000-0000-00008F0A0000}"/>
    <cellStyle name="一般 97 2 3" xfId="2708" xr:uid="{00000000-0005-0000-0000-0000900A0000}"/>
    <cellStyle name="一般 97 3" xfId="2709" xr:uid="{00000000-0005-0000-0000-0000910A0000}"/>
    <cellStyle name="一般 97 3 2" xfId="2710" xr:uid="{00000000-0005-0000-0000-0000920A0000}"/>
    <cellStyle name="一般 97 4" xfId="2711" xr:uid="{00000000-0005-0000-0000-0000930A0000}"/>
    <cellStyle name="一般 98" xfId="2712" xr:uid="{00000000-0005-0000-0000-0000940A0000}"/>
    <cellStyle name="一般 98 2" xfId="2713" xr:uid="{00000000-0005-0000-0000-0000950A0000}"/>
    <cellStyle name="一般 98 2 2" xfId="2714" xr:uid="{00000000-0005-0000-0000-0000960A0000}"/>
    <cellStyle name="一般 98 2 2 2" xfId="2715" xr:uid="{00000000-0005-0000-0000-0000970A0000}"/>
    <cellStyle name="一般 98 2 3" xfId="2716" xr:uid="{00000000-0005-0000-0000-0000980A0000}"/>
    <cellStyle name="一般 98 3" xfId="2717" xr:uid="{00000000-0005-0000-0000-0000990A0000}"/>
    <cellStyle name="一般 98 3 2" xfId="2718" xr:uid="{00000000-0005-0000-0000-00009A0A0000}"/>
    <cellStyle name="一般 98 4" xfId="2719" xr:uid="{00000000-0005-0000-0000-00009B0A0000}"/>
    <cellStyle name="一般 99" xfId="2720" xr:uid="{00000000-0005-0000-0000-00009C0A0000}"/>
    <cellStyle name="一般 99 2" xfId="2721" xr:uid="{00000000-0005-0000-0000-00009D0A0000}"/>
    <cellStyle name="一般 99 2 2" xfId="2722" xr:uid="{00000000-0005-0000-0000-00009E0A0000}"/>
    <cellStyle name="一般 99 2 2 2" xfId="2723" xr:uid="{00000000-0005-0000-0000-00009F0A0000}"/>
    <cellStyle name="一般 99 2 3" xfId="2724" xr:uid="{00000000-0005-0000-0000-0000A00A0000}"/>
    <cellStyle name="一般 99 3" xfId="2725" xr:uid="{00000000-0005-0000-0000-0000A10A0000}"/>
    <cellStyle name="一般 99 3 2" xfId="2726" xr:uid="{00000000-0005-0000-0000-0000A20A0000}"/>
    <cellStyle name="一般 99 4" xfId="2727" xr:uid="{00000000-0005-0000-0000-0000A30A0000}"/>
    <cellStyle name="千分位 2" xfId="5" xr:uid="{00000000-0005-0000-0000-0000A40A0000}"/>
    <cellStyle name="千分位 2 2" xfId="2730" xr:uid="{00000000-0005-0000-0000-0000A50A0000}"/>
    <cellStyle name="百分比" xfId="2" builtinId="5"/>
    <cellStyle name="百分比 2" xfId="4" xr:uid="{00000000-0005-0000-0000-0000A70A0000}"/>
    <cellStyle name="貨幣" xfId="1" builtinId="4"/>
    <cellStyle name="貨幣 2" xfId="2729" xr:uid="{00000000-0005-0000-0000-0000A90A0000}"/>
    <cellStyle name="樣式 1" xfId="2728" xr:uid="{00000000-0005-0000-0000-0000AA0A0000}"/>
  </cellStyles>
  <dxfs count="1"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8CBAD"/>
      <color rgb="FFFF0000"/>
      <color rgb="FF8EA9DB"/>
      <color rgb="FFFFE699"/>
      <color rgb="FFFFFF66"/>
      <color rgb="FF736FC1"/>
      <color rgb="FFCC66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106795254995181E-2"/>
          <c:y val="1.8276932789206564E-2"/>
          <c:w val="0.89927565512205876"/>
          <c:h val="0.9106389626307147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總表!$A$7:$A$181</c:f>
              <c:numCache>
                <c:formatCode>m/d/yyyy</c:formatCode>
                <c:ptCount val="175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</c:numCache>
            </c:numRef>
          </c:cat>
          <c:val>
            <c:numRef>
              <c:f>總表!$N$7:$N$181</c:f>
              <c:numCache>
                <c:formatCode>0.0%</c:formatCode>
                <c:ptCount val="175"/>
                <c:pt idx="0">
                  <c:v>0</c:v>
                </c:pt>
                <c:pt idx="1">
                  <c:v>8.3954679868210036E-3</c:v>
                </c:pt>
                <c:pt idx="2">
                  <c:v>8.3556468829284469E-3</c:v>
                </c:pt>
                <c:pt idx="3">
                  <c:v>3.7858642350753646E-2</c:v>
                </c:pt>
                <c:pt idx="4">
                  <c:v>4.0804030897299448E-2</c:v>
                </c:pt>
                <c:pt idx="5">
                  <c:v>3.5217606582032657E-2</c:v>
                </c:pt>
                <c:pt idx="6">
                  <c:v>2.4018910581832476E-2</c:v>
                </c:pt>
                <c:pt idx="7">
                  <c:v>3.8729537162459637E-2</c:v>
                </c:pt>
                <c:pt idx="8">
                  <c:v>6.4713332477139174E-2</c:v>
                </c:pt>
                <c:pt idx="9">
                  <c:v>8.7545041060969941E-2</c:v>
                </c:pt>
                <c:pt idx="10">
                  <c:v>0.10471536795750036</c:v>
                </c:pt>
                <c:pt idx="11">
                  <c:v>6.9877960028658315E-2</c:v>
                </c:pt>
                <c:pt idx="12">
                  <c:v>0.10666377499218527</c:v>
                </c:pt>
                <c:pt idx="13">
                  <c:v>0.13442926180719961</c:v>
                </c:pt>
                <c:pt idx="14">
                  <c:v>0.10843367363010947</c:v>
                </c:pt>
                <c:pt idx="15">
                  <c:v>0.11683762278510246</c:v>
                </c:pt>
                <c:pt idx="16">
                  <c:v>0.11904886526008518</c:v>
                </c:pt>
                <c:pt idx="17">
                  <c:v>0.14183332162124396</c:v>
                </c:pt>
                <c:pt idx="18">
                  <c:v>0.15758099313671559</c:v>
                </c:pt>
                <c:pt idx="19">
                  <c:v>0.20059360099900081</c:v>
                </c:pt>
                <c:pt idx="20">
                  <c:v>0.1987791964214316</c:v>
                </c:pt>
                <c:pt idx="21">
                  <c:v>0.18050833698831292</c:v>
                </c:pt>
                <c:pt idx="22">
                  <c:v>0.13877040831574505</c:v>
                </c:pt>
                <c:pt idx="23">
                  <c:v>0.14298474116686344</c:v>
                </c:pt>
                <c:pt idx="24">
                  <c:v>0.15520844692040692</c:v>
                </c:pt>
                <c:pt idx="25">
                  <c:v>0.11105597005582224</c:v>
                </c:pt>
                <c:pt idx="26">
                  <c:v>8.9297492724369265E-2</c:v>
                </c:pt>
                <c:pt idx="27">
                  <c:v>0.10678129975113837</c:v>
                </c:pt>
                <c:pt idx="28">
                  <c:v>8.1598207484913754E-2</c:v>
                </c:pt>
                <c:pt idx="29">
                  <c:v>0.10358850341306436</c:v>
                </c:pt>
                <c:pt idx="30">
                  <c:v>0.12433554086024889</c:v>
                </c:pt>
                <c:pt idx="31">
                  <c:v>0.22583452675485471</c:v>
                </c:pt>
                <c:pt idx="32">
                  <c:v>0.26648169642748964</c:v>
                </c:pt>
                <c:pt idx="33">
                  <c:v>0.27569208351608232</c:v>
                </c:pt>
                <c:pt idx="34">
                  <c:v>0.27894723663347709</c:v>
                </c:pt>
                <c:pt idx="35">
                  <c:v>0.18795601423866981</c:v>
                </c:pt>
                <c:pt idx="36">
                  <c:v>4.8729642167398834E-2</c:v>
                </c:pt>
                <c:pt idx="37">
                  <c:v>6.693741786392482E-2</c:v>
                </c:pt>
                <c:pt idx="38">
                  <c:v>8.6648379652627394E-2</c:v>
                </c:pt>
                <c:pt idx="39">
                  <c:v>2.3926021597092895E-2</c:v>
                </c:pt>
                <c:pt idx="40">
                  <c:v>4.8226345416170879E-2</c:v>
                </c:pt>
                <c:pt idx="41">
                  <c:v>8.3820354318974388E-2</c:v>
                </c:pt>
                <c:pt idx="42">
                  <c:v>0.10228555366277425</c:v>
                </c:pt>
                <c:pt idx="43">
                  <c:v>0.11555098918691442</c:v>
                </c:pt>
                <c:pt idx="44">
                  <c:v>0.11940895142875374</c:v>
                </c:pt>
                <c:pt idx="45">
                  <c:v>0.13734662211226323</c:v>
                </c:pt>
                <c:pt idx="46">
                  <c:v>0.20199485152705465</c:v>
                </c:pt>
                <c:pt idx="47">
                  <c:v>0.25583928428633396</c:v>
                </c:pt>
                <c:pt idx="48">
                  <c:v>0.23055425645598637</c:v>
                </c:pt>
                <c:pt idx="49">
                  <c:v>0.1720245840794743</c:v>
                </c:pt>
                <c:pt idx="50">
                  <c:v>0.14796552930162821</c:v>
                </c:pt>
                <c:pt idx="51">
                  <c:v>0.19699726260200623</c:v>
                </c:pt>
                <c:pt idx="52">
                  <c:v>0.20954777603577268</c:v>
                </c:pt>
                <c:pt idx="53">
                  <c:v>0.22853848471410787</c:v>
                </c:pt>
                <c:pt idx="54">
                  <c:v>0.18096316992141603</c:v>
                </c:pt>
                <c:pt idx="55">
                  <c:v>0.10986634486691438</c:v>
                </c:pt>
                <c:pt idx="56">
                  <c:v>0.1799213593777893</c:v>
                </c:pt>
                <c:pt idx="57">
                  <c:v>0.18553888130968632</c:v>
                </c:pt>
                <c:pt idx="58">
                  <c:v>0.23354617026793223</c:v>
                </c:pt>
                <c:pt idx="59">
                  <c:v>0.32809092135372375</c:v>
                </c:pt>
                <c:pt idx="60">
                  <c:v>0.31093723370141602</c:v>
                </c:pt>
                <c:pt idx="61">
                  <c:v>0.33501082762469947</c:v>
                </c:pt>
                <c:pt idx="62">
                  <c:v>0.32055827087558764</c:v>
                </c:pt>
                <c:pt idx="63">
                  <c:v>0.33340804838627602</c:v>
                </c:pt>
                <c:pt idx="64">
                  <c:v>0.39208626236534139</c:v>
                </c:pt>
                <c:pt idx="65">
                  <c:v>0.40047470309853428</c:v>
                </c:pt>
                <c:pt idx="66">
                  <c:v>0.47251269550102304</c:v>
                </c:pt>
                <c:pt idx="67">
                  <c:v>0.51599677554063406</c:v>
                </c:pt>
                <c:pt idx="68">
                  <c:v>0.59627046687619201</c:v>
                </c:pt>
                <c:pt idx="69">
                  <c:v>0.74107728605849421</c:v>
                </c:pt>
                <c:pt idx="70">
                  <c:v>0.7012074760285838</c:v>
                </c:pt>
                <c:pt idx="71">
                  <c:v>0.87542585560851593</c:v>
                </c:pt>
                <c:pt idx="72">
                  <c:v>0.94409512801313689</c:v>
                </c:pt>
                <c:pt idx="73">
                  <c:v>1.0332024810243956</c:v>
                </c:pt>
                <c:pt idx="74">
                  <c:v>0.96442061101566412</c:v>
                </c:pt>
                <c:pt idx="75">
                  <c:v>1.0251634644198839</c:v>
                </c:pt>
                <c:pt idx="76">
                  <c:v>1.2703641328974822</c:v>
                </c:pt>
                <c:pt idx="77">
                  <c:v>1.3793609560942039</c:v>
                </c:pt>
                <c:pt idx="78">
                  <c:v>1.3113603228336475</c:v>
                </c:pt>
                <c:pt idx="79">
                  <c:v>1.3024332067619953</c:v>
                </c:pt>
                <c:pt idx="80">
                  <c:v>1.1468875324404681</c:v>
                </c:pt>
                <c:pt idx="81">
                  <c:v>1.1085809228641792</c:v>
                </c:pt>
                <c:pt idx="82">
                  <c:v>1.1059667037414878</c:v>
                </c:pt>
                <c:pt idx="83">
                  <c:v>1.0057159842557208</c:v>
                </c:pt>
                <c:pt idx="84">
                  <c:v>1.0116247737345492</c:v>
                </c:pt>
                <c:pt idx="85">
                  <c:v>0.86066628057158212</c:v>
                </c:pt>
                <c:pt idx="86">
                  <c:v>0.91701257716853379</c:v>
                </c:pt>
                <c:pt idx="87">
                  <c:v>0.83220929584495451</c:v>
                </c:pt>
                <c:pt idx="88">
                  <c:v>0.80014611841164696</c:v>
                </c:pt>
                <c:pt idx="89">
                  <c:v>0.88276335844566844</c:v>
                </c:pt>
                <c:pt idx="90">
                  <c:v>0.99373855547128231</c:v>
                </c:pt>
                <c:pt idx="91">
                  <c:v>1.1211368480909698</c:v>
                </c:pt>
                <c:pt idx="92">
                  <c:v>1.0252252557879933</c:v>
                </c:pt>
                <c:pt idx="93">
                  <c:v>1.0516439330973144</c:v>
                </c:pt>
                <c:pt idx="94">
                  <c:v>1.0129235232872684</c:v>
                </c:pt>
                <c:pt idx="95">
                  <c:v>1.1717195851174074</c:v>
                </c:pt>
                <c:pt idx="96">
                  <c:v>1.263796639357305</c:v>
                </c:pt>
                <c:pt idx="97">
                  <c:v>1.3417459252025585</c:v>
                </c:pt>
                <c:pt idx="98">
                  <c:v>1.3659225047393577</c:v>
                </c:pt>
                <c:pt idx="99">
                  <c:v>1.1113417450366994</c:v>
                </c:pt>
                <c:pt idx="100">
                  <c:v>0.987927339812946</c:v>
                </c:pt>
                <c:pt idx="101">
                  <c:v>0.85090372904848555</c:v>
                </c:pt>
                <c:pt idx="102">
                  <c:v>0.89525498834041306</c:v>
                </c:pt>
                <c:pt idx="103">
                  <c:v>0.78523598244640525</c:v>
                </c:pt>
                <c:pt idx="104">
                  <c:v>0.77983226672546957</c:v>
                </c:pt>
                <c:pt idx="105">
                  <c:v>0.80249515967616469</c:v>
                </c:pt>
                <c:pt idx="106">
                  <c:v>0.97123494693615764</c:v>
                </c:pt>
                <c:pt idx="107">
                  <c:v>1.0130480752998499</c:v>
                </c:pt>
                <c:pt idx="108">
                  <c:v>1.0394390474598092</c:v>
                </c:pt>
                <c:pt idx="109">
                  <c:v>1.2170313972845723</c:v>
                </c:pt>
                <c:pt idx="110">
                  <c:v>1.2984619199587732</c:v>
                </c:pt>
                <c:pt idx="111">
                  <c:v>1.1531278144352712</c:v>
                </c:pt>
                <c:pt idx="112">
                  <c:v>1.1324353795565076</c:v>
                </c:pt>
                <c:pt idx="113">
                  <c:v>1.2909127917824752</c:v>
                </c:pt>
                <c:pt idx="114">
                  <c:v>0.98901874499712039</c:v>
                </c:pt>
                <c:pt idx="115">
                  <c:v>0.99848873660480253</c:v>
                </c:pt>
                <c:pt idx="116">
                  <c:v>1.1279338178099687</c:v>
                </c:pt>
                <c:pt idx="117">
                  <c:v>1.1732515264083383</c:v>
                </c:pt>
                <c:pt idx="118">
                  <c:v>0.92972011337302507</c:v>
                </c:pt>
                <c:pt idx="119">
                  <c:v>0.96031306011048123</c:v>
                </c:pt>
                <c:pt idx="120">
                  <c:v>0.92745176436568544</c:v>
                </c:pt>
                <c:pt idx="121">
                  <c:v>0.91261400103551016</c:v>
                </c:pt>
                <c:pt idx="122">
                  <c:v>1.0480955738802638</c:v>
                </c:pt>
                <c:pt idx="123">
                  <c:v>0.9829425937997005</c:v>
                </c:pt>
                <c:pt idx="124">
                  <c:v>0.93461447436546718</c:v>
                </c:pt>
                <c:pt idx="125">
                  <c:v>0.95476120665214381</c:v>
                </c:pt>
                <c:pt idx="126">
                  <c:v>1.1920247940893529</c:v>
                </c:pt>
                <c:pt idx="127">
                  <c:v>1.2044082688966484</c:v>
                </c:pt>
                <c:pt idx="128">
                  <c:v>1.0852362247654956</c:v>
                </c:pt>
                <c:pt idx="129">
                  <c:v>1.0823464888367633</c:v>
                </c:pt>
                <c:pt idx="130">
                  <c:v>1.0693426771574677</c:v>
                </c:pt>
                <c:pt idx="131">
                  <c:v>1.0544848821158008</c:v>
                </c:pt>
                <c:pt idx="132">
                  <c:v>1.1036917059877851</c:v>
                </c:pt>
                <c:pt idx="133">
                  <c:v>1.0750457867672774</c:v>
                </c:pt>
                <c:pt idx="134">
                  <c:v>1.0419545156784489</c:v>
                </c:pt>
                <c:pt idx="135">
                  <c:v>0.98320074144472258</c:v>
                </c:pt>
                <c:pt idx="136">
                  <c:v>0.96003255227428563</c:v>
                </c:pt>
                <c:pt idx="137">
                  <c:v>0.91016917557714372</c:v>
                </c:pt>
                <c:pt idx="138">
                  <c:v>1.0325801747799139</c:v>
                </c:pt>
                <c:pt idx="139">
                  <c:v>1.0479789905188617</c:v>
                </c:pt>
                <c:pt idx="140">
                  <c:v>1.0662406045198973</c:v>
                </c:pt>
                <c:pt idx="141">
                  <c:v>1.0737279428829671</c:v>
                </c:pt>
                <c:pt idx="142">
                  <c:v>1.082761219777761</c:v>
                </c:pt>
                <c:pt idx="143">
                  <c:v>0.97053580895078295</c:v>
                </c:pt>
                <c:pt idx="144">
                  <c:v>1.0172958538670493</c:v>
                </c:pt>
                <c:pt idx="145">
                  <c:v>1.0764841602569231</c:v>
                </c:pt>
                <c:pt idx="146">
                  <c:v>1.1231410686433443</c:v>
                </c:pt>
                <c:pt idx="147">
                  <c:v>1.1956541920540333</c:v>
                </c:pt>
                <c:pt idx="148">
                  <c:v>1.1422737479566445</c:v>
                </c:pt>
                <c:pt idx="149">
                  <c:v>1.1885069719879136</c:v>
                </c:pt>
                <c:pt idx="150">
                  <c:v>1.1103529566555768</c:v>
                </c:pt>
                <c:pt idx="151">
                  <c:v>0.97215003751907259</c:v>
                </c:pt>
                <c:pt idx="152">
                  <c:v>0.97220753499289603</c:v>
                </c:pt>
                <c:pt idx="153">
                  <c:v>1.0021743292001775</c:v>
                </c:pt>
                <c:pt idx="154">
                  <c:v>0.96329487729365115</c:v>
                </c:pt>
                <c:pt idx="155">
                  <c:v>0.99501460780251305</c:v>
                </c:pt>
                <c:pt idx="156">
                  <c:v>0.91120176537534836</c:v>
                </c:pt>
                <c:pt idx="157">
                  <c:v>0.89756178531013231</c:v>
                </c:pt>
                <c:pt idx="158">
                  <c:v>0.91640984881711951</c:v>
                </c:pt>
                <c:pt idx="159">
                  <c:v>0.96151924377058196</c:v>
                </c:pt>
                <c:pt idx="160">
                  <c:v>0.98614532522049037</c:v>
                </c:pt>
                <c:pt idx="161">
                  <c:v>0.94479244158292519</c:v>
                </c:pt>
                <c:pt idx="162">
                  <c:v>0.93081870735688854</c:v>
                </c:pt>
                <c:pt idx="163">
                  <c:v>1.0138596019343522</c:v>
                </c:pt>
                <c:pt idx="164">
                  <c:v>1.1068060162983819</c:v>
                </c:pt>
                <c:pt idx="165">
                  <c:v>1.1147346969436294</c:v>
                </c:pt>
                <c:pt idx="166">
                  <c:v>1.0412225967398387</c:v>
                </c:pt>
                <c:pt idx="167">
                  <c:v>1.0459285950258352</c:v>
                </c:pt>
                <c:pt idx="168">
                  <c:v>1.0262715896213122</c:v>
                </c:pt>
                <c:pt idx="169">
                  <c:v>1.0441401185909629</c:v>
                </c:pt>
                <c:pt idx="170">
                  <c:v>1.019792946414364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7-4965-8F3E-A3BA6D51CDC8}"/>
            </c:ext>
          </c:extLst>
        </c:ser>
        <c:ser>
          <c:idx val="1"/>
          <c:order val="1"/>
          <c:marker>
            <c:symbol val="none"/>
          </c:marker>
          <c:cat>
            <c:numRef>
              <c:f>總表!$A$7:$A$181</c:f>
              <c:numCache>
                <c:formatCode>m/d/yyyy</c:formatCode>
                <c:ptCount val="175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</c:numCache>
            </c:numRef>
          </c:cat>
          <c:val>
            <c:numRef>
              <c:f>總表!$Q$7:$Q$181</c:f>
              <c:numCache>
                <c:formatCode>0.0%</c:formatCode>
                <c:ptCount val="175"/>
                <c:pt idx="0">
                  <c:v>0</c:v>
                </c:pt>
                <c:pt idx="1">
                  <c:v>1.3334146613099396E-2</c:v>
                </c:pt>
                <c:pt idx="2">
                  <c:v>3.9409322188972862E-2</c:v>
                </c:pt>
                <c:pt idx="3">
                  <c:v>5.6183065633801377E-2</c:v>
                </c:pt>
                <c:pt idx="4">
                  <c:v>5.1318560167074256E-2</c:v>
                </c:pt>
                <c:pt idx="5">
                  <c:v>4.8690263766656638E-2</c:v>
                </c:pt>
                <c:pt idx="6">
                  <c:v>4.6266666545281554E-2</c:v>
                </c:pt>
                <c:pt idx="7">
                  <c:v>5.5880968616201399E-2</c:v>
                </c:pt>
                <c:pt idx="8">
                  <c:v>6.0714369166500637E-2</c:v>
                </c:pt>
                <c:pt idx="9">
                  <c:v>6.881682056772398E-2</c:v>
                </c:pt>
                <c:pt idx="10">
                  <c:v>6.4284910109826399E-2</c:v>
                </c:pt>
                <c:pt idx="11">
                  <c:v>8.4945857720346574E-2</c:v>
                </c:pt>
                <c:pt idx="12">
                  <c:v>9.2910840564088604E-2</c:v>
                </c:pt>
                <c:pt idx="13">
                  <c:v>9.7080264947126071E-2</c:v>
                </c:pt>
                <c:pt idx="14">
                  <c:v>7.9338475810541098E-2</c:v>
                </c:pt>
                <c:pt idx="15">
                  <c:v>9.6600945771537106E-2</c:v>
                </c:pt>
                <c:pt idx="16">
                  <c:v>0.10404215216889279</c:v>
                </c:pt>
                <c:pt idx="17">
                  <c:v>0.10760055460824658</c:v>
                </c:pt>
                <c:pt idx="18">
                  <c:v>0.11635378155366172</c:v>
                </c:pt>
                <c:pt idx="19">
                  <c:v>0.13313814618946584</c:v>
                </c:pt>
                <c:pt idx="20">
                  <c:v>0.12389619272788299</c:v>
                </c:pt>
                <c:pt idx="21">
                  <c:v>0.10757415336210774</c:v>
                </c:pt>
                <c:pt idx="22">
                  <c:v>9.2384939879507133E-2</c:v>
                </c:pt>
                <c:pt idx="23">
                  <c:v>0.11212032656217241</c:v>
                </c:pt>
                <c:pt idx="24">
                  <c:v>0.11538285296721185</c:v>
                </c:pt>
                <c:pt idx="25">
                  <c:v>9.8507297820319195E-2</c:v>
                </c:pt>
                <c:pt idx="26">
                  <c:v>9.7881447544274414E-2</c:v>
                </c:pt>
                <c:pt idx="27">
                  <c:v>0.11934880567742123</c:v>
                </c:pt>
                <c:pt idx="28">
                  <c:v>0.14243548157542008</c:v>
                </c:pt>
                <c:pt idx="29">
                  <c:v>0.1608376053280749</c:v>
                </c:pt>
                <c:pt idx="30">
                  <c:v>0.16662539575316226</c:v>
                </c:pt>
                <c:pt idx="31">
                  <c:v>0.1986658873747118</c:v>
                </c:pt>
                <c:pt idx="32">
                  <c:v>0.22326911761269619</c:v>
                </c:pt>
                <c:pt idx="33">
                  <c:v>0.22331812682248264</c:v>
                </c:pt>
                <c:pt idx="34">
                  <c:v>0.21230826368108024</c:v>
                </c:pt>
                <c:pt idx="35">
                  <c:v>0.18563747933040387</c:v>
                </c:pt>
                <c:pt idx="36">
                  <c:v>0.13385219368561097</c:v>
                </c:pt>
                <c:pt idx="37">
                  <c:v>0.16316015633179282</c:v>
                </c:pt>
                <c:pt idx="38">
                  <c:v>0.16062472631466829</c:v>
                </c:pt>
                <c:pt idx="39">
                  <c:v>0.10920905093892852</c:v>
                </c:pt>
                <c:pt idx="40">
                  <c:v>0.13203460444712323</c:v>
                </c:pt>
                <c:pt idx="41">
                  <c:v>0.17840202057537136</c:v>
                </c:pt>
                <c:pt idx="42">
                  <c:v>0.16002341517416174</c:v>
                </c:pt>
                <c:pt idx="43">
                  <c:v>0.15375251229099396</c:v>
                </c:pt>
                <c:pt idx="44">
                  <c:v>0.15175997686401144</c:v>
                </c:pt>
                <c:pt idx="45">
                  <c:v>0.17050789624856511</c:v>
                </c:pt>
                <c:pt idx="46">
                  <c:v>0.18818256548191825</c:v>
                </c:pt>
                <c:pt idx="47">
                  <c:v>0.16559680927284615</c:v>
                </c:pt>
                <c:pt idx="48">
                  <c:v>0.16059741468073163</c:v>
                </c:pt>
                <c:pt idx="49">
                  <c:v>0.13217814225659041</c:v>
                </c:pt>
                <c:pt idx="50">
                  <c:v>0.12832873657291799</c:v>
                </c:pt>
                <c:pt idx="51">
                  <c:v>0.15708028315488209</c:v>
                </c:pt>
                <c:pt idx="52">
                  <c:v>0.15369166803983481</c:v>
                </c:pt>
                <c:pt idx="53">
                  <c:v>0.13592481635202147</c:v>
                </c:pt>
                <c:pt idx="54">
                  <c:v>0.12545037643018131</c:v>
                </c:pt>
                <c:pt idx="55">
                  <c:v>9.7930111956456845E-2</c:v>
                </c:pt>
                <c:pt idx="56">
                  <c:v>0.14822023737451451</c:v>
                </c:pt>
                <c:pt idx="57">
                  <c:v>0.12737281199672634</c:v>
                </c:pt>
                <c:pt idx="58">
                  <c:v>0.15012583076679853</c:v>
                </c:pt>
                <c:pt idx="59">
                  <c:v>0.20313604319365264</c:v>
                </c:pt>
                <c:pt idx="60">
                  <c:v>0.20661372458159333</c:v>
                </c:pt>
                <c:pt idx="61">
                  <c:v>0.22588906196372482</c:v>
                </c:pt>
                <c:pt idx="62">
                  <c:v>0.22725494712315952</c:v>
                </c:pt>
                <c:pt idx="63">
                  <c:v>0.25628888304217612</c:v>
                </c:pt>
                <c:pt idx="64">
                  <c:v>0.27103549632370227</c:v>
                </c:pt>
                <c:pt idx="65">
                  <c:v>0.28527123031931256</c:v>
                </c:pt>
                <c:pt idx="66">
                  <c:v>0.27392901220799692</c:v>
                </c:pt>
                <c:pt idx="67">
                  <c:v>0.2792755680137069</c:v>
                </c:pt>
                <c:pt idx="68">
                  <c:v>0.30164667910256404</c:v>
                </c:pt>
                <c:pt idx="69">
                  <c:v>0.31110833948603767</c:v>
                </c:pt>
                <c:pt idx="70">
                  <c:v>0.30543829254947741</c:v>
                </c:pt>
                <c:pt idx="71">
                  <c:v>0.34760394939882544</c:v>
                </c:pt>
                <c:pt idx="72">
                  <c:v>0.37131031205362564</c:v>
                </c:pt>
                <c:pt idx="73">
                  <c:v>0.36802548114753786</c:v>
                </c:pt>
                <c:pt idx="74">
                  <c:v>0.36047320743883948</c:v>
                </c:pt>
                <c:pt idx="75">
                  <c:v>0.34742780548897101</c:v>
                </c:pt>
                <c:pt idx="76">
                  <c:v>0.40899020088920635</c:v>
                </c:pt>
                <c:pt idx="77">
                  <c:v>0.41378076757222981</c:v>
                </c:pt>
                <c:pt idx="78">
                  <c:v>0.42400310260161533</c:v>
                </c:pt>
                <c:pt idx="79">
                  <c:v>0.45151911859894955</c:v>
                </c:pt>
                <c:pt idx="80">
                  <c:v>0.44010179349430834</c:v>
                </c:pt>
                <c:pt idx="81">
                  <c:v>0.44654415274607873</c:v>
                </c:pt>
                <c:pt idx="82">
                  <c:v>0.45029146065349468</c:v>
                </c:pt>
                <c:pt idx="83">
                  <c:v>0.43216002553941246</c:v>
                </c:pt>
                <c:pt idx="84">
                  <c:v>0.44521817291845145</c:v>
                </c:pt>
                <c:pt idx="85">
                  <c:v>0.42516293665612737</c:v>
                </c:pt>
                <c:pt idx="86">
                  <c:v>0.41545228520993094</c:v>
                </c:pt>
                <c:pt idx="87">
                  <c:v>0.39065893565348708</c:v>
                </c:pt>
                <c:pt idx="88">
                  <c:v>0.3853028207758995</c:v>
                </c:pt>
                <c:pt idx="89">
                  <c:v>0.43194213939311732</c:v>
                </c:pt>
                <c:pt idx="90">
                  <c:v>0.46308938885363671</c:v>
                </c:pt>
                <c:pt idx="91">
                  <c:v>0.51073544464402176</c:v>
                </c:pt>
                <c:pt idx="92">
                  <c:v>0.50661563639596885</c:v>
                </c:pt>
                <c:pt idx="93">
                  <c:v>0.5319702400298123</c:v>
                </c:pt>
                <c:pt idx="94">
                  <c:v>0.50286280546924567</c:v>
                </c:pt>
                <c:pt idx="95">
                  <c:v>0.54846328057029137</c:v>
                </c:pt>
                <c:pt idx="96">
                  <c:v>0.56942738731750908</c:v>
                </c:pt>
                <c:pt idx="97">
                  <c:v>0.57708875583065455</c:v>
                </c:pt>
                <c:pt idx="98">
                  <c:v>0.60830944324020386</c:v>
                </c:pt>
                <c:pt idx="99">
                  <c:v>0.58125165576780757</c:v>
                </c:pt>
                <c:pt idx="100">
                  <c:v>0.56022100874609571</c:v>
                </c:pt>
                <c:pt idx="101">
                  <c:v>0.50616453924211435</c:v>
                </c:pt>
                <c:pt idx="102">
                  <c:v>0.54782085024757987</c:v>
                </c:pt>
                <c:pt idx="103">
                  <c:v>0.49666661507802479</c:v>
                </c:pt>
                <c:pt idx="104">
                  <c:v>0.49585530781880505</c:v>
                </c:pt>
                <c:pt idx="105">
                  <c:v>0.53147665811205602</c:v>
                </c:pt>
                <c:pt idx="106">
                  <c:v>0.57433938468102608</c:v>
                </c:pt>
                <c:pt idx="107">
                  <c:v>0.58876189990650341</c:v>
                </c:pt>
                <c:pt idx="108">
                  <c:v>0.59221606294299867</c:v>
                </c:pt>
                <c:pt idx="109">
                  <c:v>0.61267414580588886</c:v>
                </c:pt>
                <c:pt idx="110">
                  <c:v>0.65738495960457621</c:v>
                </c:pt>
                <c:pt idx="111">
                  <c:v>0.63543399248444543</c:v>
                </c:pt>
                <c:pt idx="112">
                  <c:v>0.59889830937951327</c:v>
                </c:pt>
                <c:pt idx="113">
                  <c:v>0.60644709326831969</c:v>
                </c:pt>
                <c:pt idx="114">
                  <c:v>0.5480123351477364</c:v>
                </c:pt>
                <c:pt idx="115">
                  <c:v>0.56298593845353651</c:v>
                </c:pt>
                <c:pt idx="116">
                  <c:v>0.60295241797481802</c:v>
                </c:pt>
                <c:pt idx="117">
                  <c:v>0.6353813417234675</c:v>
                </c:pt>
                <c:pt idx="118">
                  <c:v>0.6258925095112764</c:v>
                </c:pt>
                <c:pt idx="119">
                  <c:v>0.62881911602839669</c:v>
                </c:pt>
                <c:pt idx="120">
                  <c:v>0.62116502933421236</c:v>
                </c:pt>
                <c:pt idx="121">
                  <c:v>0.58420389166506581</c:v>
                </c:pt>
                <c:pt idx="122">
                  <c:v>0.59403668680747956</c:v>
                </c:pt>
                <c:pt idx="123">
                  <c:v>0.58166891684184052</c:v>
                </c:pt>
                <c:pt idx="124">
                  <c:v>0.58347618835195236</c:v>
                </c:pt>
                <c:pt idx="125">
                  <c:v>0.56135634429531289</c:v>
                </c:pt>
                <c:pt idx="126">
                  <c:v>0.59273392186869844</c:v>
                </c:pt>
                <c:pt idx="127">
                  <c:v>0.59344948667784037</c:v>
                </c:pt>
                <c:pt idx="128">
                  <c:v>0.49043759003356002</c:v>
                </c:pt>
                <c:pt idx="129">
                  <c:v>0.48274799949868008</c:v>
                </c:pt>
                <c:pt idx="130">
                  <c:v>0.54565185131910643</c:v>
                </c:pt>
                <c:pt idx="131">
                  <c:v>0.54565185131910643</c:v>
                </c:pt>
                <c:pt idx="132">
                  <c:v>0.56778702023701033</c:v>
                </c:pt>
                <c:pt idx="133">
                  <c:v>0.52603117349897555</c:v>
                </c:pt>
                <c:pt idx="134">
                  <c:v>0.52531075328824506</c:v>
                </c:pt>
                <c:pt idx="135">
                  <c:v>0.45444783614476258</c:v>
                </c:pt>
                <c:pt idx="136">
                  <c:v>0.3998876884920004</c:v>
                </c:pt>
                <c:pt idx="137">
                  <c:v>0.39680890869083507</c:v>
                </c:pt>
                <c:pt idx="138">
                  <c:v>0.51036947296739998</c:v>
                </c:pt>
                <c:pt idx="139">
                  <c:v>0.51772297445542903</c:v>
                </c:pt>
                <c:pt idx="140">
                  <c:v>0.51699284344152074</c:v>
                </c:pt>
                <c:pt idx="141">
                  <c:v>0.56090570233535719</c:v>
                </c:pt>
                <c:pt idx="142">
                  <c:v>0.55344219143695317</c:v>
                </c:pt>
                <c:pt idx="143">
                  <c:v>0.54750312490611641</c:v>
                </c:pt>
                <c:pt idx="144">
                  <c:v>0.57221120147215787</c:v>
                </c:pt>
                <c:pt idx="145">
                  <c:v>0.57927474866468875</c:v>
                </c:pt>
                <c:pt idx="146">
                  <c:v>0.59317236645293803</c:v>
                </c:pt>
                <c:pt idx="147">
                  <c:v>0.61136698065941819</c:v>
                </c:pt>
                <c:pt idx="148">
                  <c:v>0.60399769489809585</c:v>
                </c:pt>
                <c:pt idx="149">
                  <c:v>0.60565429722765685</c:v>
                </c:pt>
                <c:pt idx="150">
                  <c:v>0.58645361164495258</c:v>
                </c:pt>
                <c:pt idx="151">
                  <c:v>0.5659830868154907</c:v>
                </c:pt>
                <c:pt idx="152">
                  <c:v>0.57361031578621557</c:v>
                </c:pt>
                <c:pt idx="153">
                  <c:v>0.58380028640800141</c:v>
                </c:pt>
                <c:pt idx="154">
                  <c:v>0.56764552348663977</c:v>
                </c:pt>
                <c:pt idx="155">
                  <c:v>0.58195159225308557</c:v>
                </c:pt>
                <c:pt idx="156">
                  <c:v>0.60519697909051673</c:v>
                </c:pt>
                <c:pt idx="157">
                  <c:v>0.61017308972569739</c:v>
                </c:pt>
                <c:pt idx="158">
                  <c:v>0.6230043161485499</c:v>
                </c:pt>
                <c:pt idx="159">
                  <c:v>0.61586309715749632</c:v>
                </c:pt>
                <c:pt idx="160">
                  <c:v>0.64462546028689993</c:v>
                </c:pt>
                <c:pt idx="161">
                  <c:v>0.61732911034780158</c:v>
                </c:pt>
                <c:pt idx="162">
                  <c:v>0.60660550074515251</c:v>
                </c:pt>
                <c:pt idx="163">
                  <c:v>0.6309007164448508</c:v>
                </c:pt>
                <c:pt idx="164">
                  <c:v>0.6580578879185166</c:v>
                </c:pt>
                <c:pt idx="165">
                  <c:v>0.65049666206313916</c:v>
                </c:pt>
                <c:pt idx="166">
                  <c:v>0.65326272365572891</c:v>
                </c:pt>
                <c:pt idx="167">
                  <c:v>0.64476273624942682</c:v>
                </c:pt>
                <c:pt idx="168">
                  <c:v>0.6182857761920848</c:v>
                </c:pt>
                <c:pt idx="169">
                  <c:v>0.60699954693033953</c:v>
                </c:pt>
                <c:pt idx="170">
                  <c:v>0.59462565041897575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77-4965-8F3E-A3BA6D51CDC8}"/>
            </c:ext>
          </c:extLst>
        </c:ser>
        <c:ser>
          <c:idx val="2"/>
          <c:order val="2"/>
          <c:marker>
            <c:symbol val="none"/>
          </c:marker>
          <c:cat>
            <c:numRef>
              <c:f>總表!$A$7:$A$181</c:f>
              <c:numCache>
                <c:formatCode>m/d/yyyy</c:formatCode>
                <c:ptCount val="175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</c:numCache>
            </c:numRef>
          </c:cat>
          <c:val>
            <c:numRef>
              <c:f>總表!$R$7:$R$181</c:f>
              <c:numCache>
                <c:formatCode>0.0%</c:formatCode>
                <c:ptCount val="175"/>
                <c:pt idx="0">
                  <c:v>0</c:v>
                </c:pt>
                <c:pt idx="1">
                  <c:v>6.4591547621406509E-3</c:v>
                </c:pt>
                <c:pt idx="2">
                  <c:v>-2.1002159656040575E-3</c:v>
                </c:pt>
                <c:pt idx="3">
                  <c:v>9.8868657248716296E-3</c:v>
                </c:pt>
                <c:pt idx="4">
                  <c:v>1.8842503615937867E-2</c:v>
                </c:pt>
                <c:pt idx="5">
                  <c:v>1.3850175348219862E-2</c:v>
                </c:pt>
                <c:pt idx="6">
                  <c:v>1.3156069822274352E-2</c:v>
                </c:pt>
                <c:pt idx="7">
                  <c:v>3.7546313724713176E-2</c:v>
                </c:pt>
                <c:pt idx="8">
                  <c:v>3.3147748211844519E-2</c:v>
                </c:pt>
                <c:pt idx="9">
                  <c:v>5.2128945334944721E-2</c:v>
                </c:pt>
                <c:pt idx="10">
                  <c:v>5.4248974658714921E-2</c:v>
                </c:pt>
                <c:pt idx="11">
                  <c:v>6.0113728675873279E-2</c:v>
                </c:pt>
                <c:pt idx="12">
                  <c:v>6.8554219254621351E-2</c:v>
                </c:pt>
                <c:pt idx="13">
                  <c:v>7.7608923936518082E-2</c:v>
                </c:pt>
                <c:pt idx="14">
                  <c:v>6.150066374749863E-2</c:v>
                </c:pt>
                <c:pt idx="15">
                  <c:v>7.8381644904994996E-2</c:v>
                </c:pt>
                <c:pt idx="16">
                  <c:v>8.3592558102672854E-2</c:v>
                </c:pt>
                <c:pt idx="17">
                  <c:v>9.5857026807473655E-2</c:v>
                </c:pt>
                <c:pt idx="18">
                  <c:v>0.10532781201085784</c:v>
                </c:pt>
                <c:pt idx="19">
                  <c:v>0.11987081690475732</c:v>
                </c:pt>
                <c:pt idx="20">
                  <c:v>0.10612034633750067</c:v>
                </c:pt>
                <c:pt idx="21">
                  <c:v>8.9100671672841747E-2</c:v>
                </c:pt>
                <c:pt idx="22">
                  <c:v>6.5720909036872666E-2</c:v>
                </c:pt>
                <c:pt idx="23">
                  <c:v>7.9986526916447254E-2</c:v>
                </c:pt>
                <c:pt idx="24">
                  <c:v>9.1775475025261954E-2</c:v>
                </c:pt>
                <c:pt idx="25">
                  <c:v>7.3091478274652788E-2</c:v>
                </c:pt>
                <c:pt idx="26">
                  <c:v>5.2717098228685977E-2</c:v>
                </c:pt>
                <c:pt idx="27">
                  <c:v>7.4022706108458403E-2</c:v>
                </c:pt>
                <c:pt idx="28">
                  <c:v>7.3666065661468938E-2</c:v>
                </c:pt>
                <c:pt idx="29">
                  <c:v>7.7985377741673689E-2</c:v>
                </c:pt>
                <c:pt idx="30">
                  <c:v>0.10019615224584411</c:v>
                </c:pt>
                <c:pt idx="31">
                  <c:v>0.12771690673852309</c:v>
                </c:pt>
                <c:pt idx="32">
                  <c:v>0.13423550157516217</c:v>
                </c:pt>
                <c:pt idx="33">
                  <c:v>0.14687642408511836</c:v>
                </c:pt>
                <c:pt idx="34">
                  <c:v>0.14423860830972268</c:v>
                </c:pt>
                <c:pt idx="35">
                  <c:v>0.11822630817697299</c:v>
                </c:pt>
                <c:pt idx="36">
                  <c:v>6.3880509599572033E-2</c:v>
                </c:pt>
                <c:pt idx="37">
                  <c:v>0.10156327395930353</c:v>
                </c:pt>
                <c:pt idx="38">
                  <c:v>0.10980563095639084</c:v>
                </c:pt>
                <c:pt idx="39">
                  <c:v>4.6324748865685272E-2</c:v>
                </c:pt>
                <c:pt idx="40">
                  <c:v>7.735135028035911E-2</c:v>
                </c:pt>
                <c:pt idx="41">
                  <c:v>0.12797448039468207</c:v>
                </c:pt>
                <c:pt idx="42">
                  <c:v>0.12829149412533947</c:v>
                </c:pt>
                <c:pt idx="43">
                  <c:v>0.1330070733688653</c:v>
                </c:pt>
                <c:pt idx="44">
                  <c:v>0.14856055952923475</c:v>
                </c:pt>
                <c:pt idx="45">
                  <c:v>0.16245814229953837</c:v>
                </c:pt>
                <c:pt idx="46">
                  <c:v>0.19279829981355645</c:v>
                </c:pt>
                <c:pt idx="47">
                  <c:v>0.19419072338570675</c:v>
                </c:pt>
                <c:pt idx="48">
                  <c:v>0.18993085138000065</c:v>
                </c:pt>
                <c:pt idx="49">
                  <c:v>0.14873887975272937</c:v>
                </c:pt>
                <c:pt idx="50">
                  <c:v>0.13323090487606759</c:v>
                </c:pt>
                <c:pt idx="51">
                  <c:v>0.17736918230270859</c:v>
                </c:pt>
                <c:pt idx="52">
                  <c:v>0.1707317073170731</c:v>
                </c:pt>
                <c:pt idx="53">
                  <c:v>0.15738536585365859</c:v>
                </c:pt>
                <c:pt idx="54">
                  <c:v>0.16229121673832503</c:v>
                </c:pt>
                <c:pt idx="55">
                  <c:v>0.1164827326583584</c:v>
                </c:pt>
                <c:pt idx="56">
                  <c:v>0.16540191397039905</c:v>
                </c:pt>
                <c:pt idx="57">
                  <c:v>0.1535535257870857</c:v>
                </c:pt>
                <c:pt idx="58">
                  <c:v>0.18152998751758442</c:v>
                </c:pt>
                <c:pt idx="59">
                  <c:v>0.23817637851439444</c:v>
                </c:pt>
                <c:pt idx="60">
                  <c:v>0.24330803827940795</c:v>
                </c:pt>
                <c:pt idx="61">
                  <c:v>0.26853044322482233</c:v>
                </c:pt>
                <c:pt idx="62">
                  <c:v>0.27845693566602603</c:v>
                </c:pt>
                <c:pt idx="63">
                  <c:v>0.2921281528006181</c:v>
                </c:pt>
                <c:pt idx="64">
                  <c:v>0.30613619702403372</c:v>
                </c:pt>
                <c:pt idx="65">
                  <c:v>0.32906025242218306</c:v>
                </c:pt>
                <c:pt idx="66">
                  <c:v>0.3522418814764916</c:v>
                </c:pt>
                <c:pt idx="67">
                  <c:v>0.39276019892611624</c:v>
                </c:pt>
                <c:pt idx="68">
                  <c:v>0.41838698658635654</c:v>
                </c:pt>
                <c:pt idx="69">
                  <c:v>0.43482395831269449</c:v>
                </c:pt>
                <c:pt idx="70">
                  <c:v>0.38493392245051616</c:v>
                </c:pt>
                <c:pt idx="71">
                  <c:v>0.37662431891581316</c:v>
                </c:pt>
                <c:pt idx="72">
                  <c:v>0.369420063006479</c:v>
                </c:pt>
                <c:pt idx="73">
                  <c:v>0.38762853916110251</c:v>
                </c:pt>
                <c:pt idx="74">
                  <c:v>0.3901250222900281</c:v>
                </c:pt>
                <c:pt idx="75">
                  <c:v>0.39680212399199544</c:v>
                </c:pt>
                <c:pt idx="76">
                  <c:v>0.44641477283984865</c:v>
                </c:pt>
                <c:pt idx="77">
                  <c:v>0.47476450238750978</c:v>
                </c:pt>
                <c:pt idx="78">
                  <c:v>0.49018248102870965</c:v>
                </c:pt>
                <c:pt idx="79">
                  <c:v>0.51241306889104643</c:v>
                </c:pt>
                <c:pt idx="80">
                  <c:v>0.48711141051296769</c:v>
                </c:pt>
                <c:pt idx="81">
                  <c:v>0.53274157436943992</c:v>
                </c:pt>
                <c:pt idx="82">
                  <c:v>0.54617503120603916</c:v>
                </c:pt>
                <c:pt idx="83">
                  <c:v>0.52741178102276565</c:v>
                </c:pt>
                <c:pt idx="84">
                  <c:v>0.54932535515444525</c:v>
                </c:pt>
                <c:pt idx="85">
                  <c:v>0.49339224505161394</c:v>
                </c:pt>
                <c:pt idx="86">
                  <c:v>0.48778506469061433</c:v>
                </c:pt>
                <c:pt idx="87">
                  <c:v>0.44621663925818789</c:v>
                </c:pt>
                <c:pt idx="88">
                  <c:v>0.4397971112123793</c:v>
                </c:pt>
                <c:pt idx="89">
                  <c:v>0.48841909215192891</c:v>
                </c:pt>
                <c:pt idx="90">
                  <c:v>0.53729864674763728</c:v>
                </c:pt>
                <c:pt idx="91">
                  <c:v>0.57991718016286575</c:v>
                </c:pt>
                <c:pt idx="92">
                  <c:v>0.59556973311406547</c:v>
                </c:pt>
                <c:pt idx="93">
                  <c:v>0.59893800400229846</c:v>
                </c:pt>
                <c:pt idx="94">
                  <c:v>0.57079669513185816</c:v>
                </c:pt>
                <c:pt idx="95">
                  <c:v>0.61153929979592259</c:v>
                </c:pt>
                <c:pt idx="96">
                  <c:v>0.62027699074716169</c:v>
                </c:pt>
                <c:pt idx="97">
                  <c:v>0.60084008638624176</c:v>
                </c:pt>
                <c:pt idx="98">
                  <c:v>0.62336787462106957</c:v>
                </c:pt>
                <c:pt idx="99">
                  <c:v>0.59899744407679667</c:v>
                </c:pt>
                <c:pt idx="100">
                  <c:v>0.56628558974460574</c:v>
                </c:pt>
                <c:pt idx="101">
                  <c:v>0.49909193794456219</c:v>
                </c:pt>
                <c:pt idx="102">
                  <c:v>0.54355966792811716</c:v>
                </c:pt>
                <c:pt idx="103">
                  <c:v>0.47526302232965478</c:v>
                </c:pt>
                <c:pt idx="104">
                  <c:v>0.48005785500584497</c:v>
                </c:pt>
                <c:pt idx="105">
                  <c:v>0.52600503259297438</c:v>
                </c:pt>
                <c:pt idx="106">
                  <c:v>0.56125574884587182</c:v>
                </c:pt>
                <c:pt idx="107">
                  <c:v>0.56468070773315393</c:v>
                </c:pt>
                <c:pt idx="108">
                  <c:v>0.57674704285629375</c:v>
                </c:pt>
                <c:pt idx="109">
                  <c:v>0.62675595886746849</c:v>
                </c:pt>
                <c:pt idx="110">
                  <c:v>0.65021497493610192</c:v>
                </c:pt>
                <c:pt idx="111">
                  <c:v>0.60426779734897296</c:v>
                </c:pt>
                <c:pt idx="112">
                  <c:v>0.60910225674149521</c:v>
                </c:pt>
                <c:pt idx="113">
                  <c:v>0.60137504705672584</c:v>
                </c:pt>
                <c:pt idx="114">
                  <c:v>0.51233381545838208</c:v>
                </c:pt>
                <c:pt idx="115">
                  <c:v>0.50426977868478939</c:v>
                </c:pt>
                <c:pt idx="116">
                  <c:v>0.55633928394523591</c:v>
                </c:pt>
                <c:pt idx="117">
                  <c:v>0.57201165025460154</c:v>
                </c:pt>
                <c:pt idx="118">
                  <c:v>0.60219427393949032</c:v>
                </c:pt>
                <c:pt idx="119">
                  <c:v>0.62366367721027949</c:v>
                </c:pt>
                <c:pt idx="120">
                  <c:v>0.60593211943492298</c:v>
                </c:pt>
                <c:pt idx="121">
                  <c:v>0.53186978661013251</c:v>
                </c:pt>
                <c:pt idx="122">
                  <c:v>0.53723133086326813</c:v>
                </c:pt>
                <c:pt idx="123">
                  <c:v>0.54052822412870749</c:v>
                </c:pt>
                <c:pt idx="124">
                  <c:v>0.53658536585365857</c:v>
                </c:pt>
                <c:pt idx="125">
                  <c:v>0.49111370886251526</c:v>
                </c:pt>
                <c:pt idx="126">
                  <c:v>0.52436052386519005</c:v>
                </c:pt>
                <c:pt idx="127">
                  <c:v>0.49107408214618298</c:v>
                </c:pt>
                <c:pt idx="128">
                  <c:v>0.38677656475996125</c:v>
                </c:pt>
                <c:pt idx="129">
                  <c:v>0.35150878722434675</c:v>
                </c:pt>
                <c:pt idx="130">
                  <c:v>0.40084404905787485</c:v>
                </c:pt>
                <c:pt idx="131">
                  <c:v>0.40084404905787485</c:v>
                </c:pt>
                <c:pt idx="132">
                  <c:v>0.43916308375106516</c:v>
                </c:pt>
                <c:pt idx="133">
                  <c:v>0.38612272394048075</c:v>
                </c:pt>
                <c:pt idx="134">
                  <c:v>0.38794555289175969</c:v>
                </c:pt>
                <c:pt idx="135">
                  <c:v>0.29397079511006341</c:v>
                </c:pt>
                <c:pt idx="136">
                  <c:v>0.22745735174654746</c:v>
                </c:pt>
                <c:pt idx="137">
                  <c:v>0.19829208852608415</c:v>
                </c:pt>
                <c:pt idx="138">
                  <c:v>0.27917680450159477</c:v>
                </c:pt>
                <c:pt idx="139">
                  <c:v>0.33333993778605553</c:v>
                </c:pt>
                <c:pt idx="140">
                  <c:v>0.37817756731588448</c:v>
                </c:pt>
                <c:pt idx="141">
                  <c:v>0.41045352776842159</c:v>
                </c:pt>
                <c:pt idx="142">
                  <c:v>0.43870737651324521</c:v>
                </c:pt>
                <c:pt idx="143">
                  <c:v>0.41229617007786645</c:v>
                </c:pt>
                <c:pt idx="144">
                  <c:v>0.43965841770521696</c:v>
                </c:pt>
                <c:pt idx="145">
                  <c:v>0.439955618077708</c:v>
                </c:pt>
                <c:pt idx="146">
                  <c:v>0.47797044639495945</c:v>
                </c:pt>
                <c:pt idx="147">
                  <c:v>0.49311485803728883</c:v>
                </c:pt>
                <c:pt idx="148">
                  <c:v>0.47415347427235455</c:v>
                </c:pt>
                <c:pt idx="149">
                  <c:v>0.46474212914346857</c:v>
                </c:pt>
                <c:pt idx="150">
                  <c:v>0.43722137465078958</c:v>
                </c:pt>
                <c:pt idx="151">
                  <c:v>0.41503041350478487</c:v>
                </c:pt>
                <c:pt idx="152">
                  <c:v>0.43415030413504807</c:v>
                </c:pt>
                <c:pt idx="153">
                  <c:v>0.42432287848467443</c:v>
                </c:pt>
                <c:pt idx="154">
                  <c:v>0.4200499098492203</c:v>
                </c:pt>
                <c:pt idx="155">
                  <c:v>0.43252560876542967</c:v>
                </c:pt>
                <c:pt idx="156">
                  <c:v>0.45552891759624337</c:v>
                </c:pt>
                <c:pt idx="157">
                  <c:v>0.47284971171563872</c:v>
                </c:pt>
                <c:pt idx="158">
                  <c:v>0.48255433813477056</c:v>
                </c:pt>
                <c:pt idx="159">
                  <c:v>0.47840318598799314</c:v>
                </c:pt>
                <c:pt idx="160">
                  <c:v>0.51181509799132163</c:v>
                </c:pt>
                <c:pt idx="161">
                  <c:v>0.49816726436963799</c:v>
                </c:pt>
                <c:pt idx="162">
                  <c:v>0.45531097065641668</c:v>
                </c:pt>
                <c:pt idx="163">
                  <c:v>0.48194012403162234</c:v>
                </c:pt>
                <c:pt idx="164">
                  <c:v>0.50728140912603292</c:v>
                </c:pt>
                <c:pt idx="165">
                  <c:v>0.49945513265043284</c:v>
                </c:pt>
                <c:pt idx="166">
                  <c:v>0.50282340353866584</c:v>
                </c:pt>
                <c:pt idx="167">
                  <c:v>0.49236195042697806</c:v>
                </c:pt>
                <c:pt idx="168">
                  <c:v>0.45657902557904539</c:v>
                </c:pt>
                <c:pt idx="169">
                  <c:v>0.45344851498880567</c:v>
                </c:pt>
                <c:pt idx="170">
                  <c:v>0.43150144241247457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77-4965-8F3E-A3BA6D51C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111168"/>
        <c:axId val="328106272"/>
      </c:lineChart>
      <c:catAx>
        <c:axId val="3281111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8106272"/>
        <c:crosses val="autoZero"/>
        <c:auto val="0"/>
        <c:lblAlgn val="ctr"/>
        <c:lblOffset val="100"/>
        <c:noMultiLvlLbl val="1"/>
      </c:catAx>
      <c:valAx>
        <c:axId val="32810627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28111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80075</xdr:colOff>
      <xdr:row>177</xdr:row>
      <xdr:rowOff>185464</xdr:rowOff>
    </xdr:from>
    <xdr:to>
      <xdr:col>20</xdr:col>
      <xdr:colOff>39252</xdr:colOff>
      <xdr:row>198</xdr:row>
      <xdr:rowOff>181440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33258;&#24049;/202609/&#32929;&#31080;&#32317;&#37096;&#20301;&#24115;20260915.xlsx" TargetMode="External"/><Relationship Id="rId2" Type="http://schemas.openxmlformats.org/officeDocument/2006/relationships/externalLinkPath" Target="file:///C:\Users\PPP\Desktop\&#35352;&#24115;&#26032;\&#33258;&#24049;\202609\&#32929;&#31080;&#32317;&#37096;&#20301;&#24115;20260915.xlsx" TargetMode="External"/><Relationship Id="rId1" Type="http://schemas.openxmlformats.org/officeDocument/2006/relationships/externalLinkPath" Target="/Users/PPP/Desktop/&#35352;&#24115;&#26032;/&#33258;&#24049;/202609/&#32929;&#31080;&#32317;&#37096;&#20301;&#24115;202609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總表"/>
      <sheetName val="按股票分類"/>
      <sheetName val="全部總計"/>
      <sheetName val="類股比重"/>
      <sheetName val="工作表1"/>
      <sheetName val="日盛(姊姊)"/>
      <sheetName val="融券(姐)"/>
      <sheetName val="日盛(爸)"/>
      <sheetName val="融券(爸)"/>
      <sheetName val="自有+媽媽總計"/>
      <sheetName val="元大(自己)"/>
      <sheetName val="永豐(自己)"/>
      <sheetName val="工作表2"/>
      <sheetName val="肥肉人代操"/>
      <sheetName val="融券"/>
      <sheetName val="複委託(永豐)"/>
      <sheetName val="富邦(老婆)"/>
      <sheetName val="融券老婆"/>
      <sheetName val="富邦(自己)"/>
      <sheetName val="其他資產"/>
      <sheetName val="CB"/>
      <sheetName val="丙金"/>
      <sheetName val="元大(期貨帳戶)"/>
      <sheetName val="外幣"/>
      <sheetName val="期貨(統一)"/>
      <sheetName val="美股帳戶"/>
      <sheetName val="大志業"/>
      <sheetName val="共同帳戶"/>
      <sheetName val="共同帳戶(1)"/>
      <sheetName val="BLO"/>
      <sheetName val="元大(媽媽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 t="str">
            <v>凱基金</v>
          </cell>
          <cell r="C4">
            <v>0</v>
          </cell>
          <cell r="D4">
            <v>38.15</v>
          </cell>
        </row>
        <row r="5">
          <cell r="B5" t="str">
            <v>緯穎</v>
          </cell>
          <cell r="C5">
            <v>0</v>
          </cell>
          <cell r="D5">
            <v>2320</v>
          </cell>
        </row>
        <row r="6">
          <cell r="B6" t="str">
            <v>富邦金</v>
          </cell>
          <cell r="C6">
            <v>0</v>
          </cell>
          <cell r="D6">
            <v>151</v>
          </cell>
        </row>
        <row r="7">
          <cell r="B7" t="str">
            <v>富邦金認購</v>
          </cell>
          <cell r="C7">
            <v>0</v>
          </cell>
          <cell r="D7">
            <v>0.81</v>
          </cell>
        </row>
        <row r="8">
          <cell r="B8" t="str">
            <v>中華立鼎</v>
          </cell>
          <cell r="C8">
            <v>6000</v>
          </cell>
          <cell r="D8">
            <v>605</v>
          </cell>
        </row>
        <row r="9">
          <cell r="B9" t="str">
            <v>永豐金</v>
          </cell>
          <cell r="C9">
            <v>0</v>
          </cell>
          <cell r="D9">
            <v>44.6</v>
          </cell>
        </row>
        <row r="10">
          <cell r="B10" t="str">
            <v>騰雲</v>
          </cell>
          <cell r="C10">
            <v>0</v>
          </cell>
          <cell r="D10">
            <v>329</v>
          </cell>
        </row>
        <row r="11">
          <cell r="B11" t="str">
            <v>玉山金</v>
          </cell>
          <cell r="C11">
            <v>0</v>
          </cell>
          <cell r="D11">
            <v>45.7</v>
          </cell>
        </row>
        <row r="12">
          <cell r="B12" t="str">
            <v>台新新光金</v>
          </cell>
          <cell r="C12">
            <v>0</v>
          </cell>
          <cell r="D12">
            <v>43.4</v>
          </cell>
        </row>
        <row r="13">
          <cell r="B13" t="str">
            <v>仁新</v>
          </cell>
          <cell r="C13">
            <v>38000</v>
          </cell>
          <cell r="D13">
            <v>169</v>
          </cell>
        </row>
        <row r="14">
          <cell r="B14" t="str">
            <v>BLTE</v>
          </cell>
          <cell r="C14">
            <v>0</v>
          </cell>
          <cell r="D14">
            <v>183.16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2:F34"/>
  <sheetViews>
    <sheetView topLeftCell="A22" workbookViewId="0">
      <selection activeCell="O22" sqref="A14:O32"/>
    </sheetView>
  </sheetViews>
  <sheetFormatPr defaultRowHeight="16.5" x14ac:dyDescent="0.25"/>
  <sheetData>
    <row r="12" spans="6:6" ht="17.25" thickBot="1" x14ac:dyDescent="0.3"/>
    <row r="13" spans="6:6" ht="17.25" thickBot="1" x14ac:dyDescent="0.3">
      <c r="F13" s="28" t="s">
        <v>0</v>
      </c>
    </row>
    <row r="14" spans="6:6" x14ac:dyDescent="0.25">
      <c r="F14" s="133" t="s">
        <v>1</v>
      </c>
    </row>
    <row r="15" spans="6:6" x14ac:dyDescent="0.25">
      <c r="F15" s="134"/>
    </row>
    <row r="16" spans="6:6" x14ac:dyDescent="0.25">
      <c r="F16" s="134"/>
    </row>
    <row r="17" spans="6:6" x14ac:dyDescent="0.25">
      <c r="F17" s="134"/>
    </row>
    <row r="18" spans="6:6" x14ac:dyDescent="0.25">
      <c r="F18" s="134"/>
    </row>
    <row r="19" spans="6:6" x14ac:dyDescent="0.25">
      <c r="F19" s="134"/>
    </row>
    <row r="20" spans="6:6" x14ac:dyDescent="0.25">
      <c r="F20" s="134"/>
    </row>
    <row r="21" spans="6:6" x14ac:dyDescent="0.25">
      <c r="F21" s="134"/>
    </row>
    <row r="22" spans="6:6" x14ac:dyDescent="0.25">
      <c r="F22" s="134"/>
    </row>
    <row r="23" spans="6:6" x14ac:dyDescent="0.25">
      <c r="F23" s="134"/>
    </row>
    <row r="24" spans="6:6" x14ac:dyDescent="0.25">
      <c r="F24" s="134"/>
    </row>
    <row r="25" spans="6:6" x14ac:dyDescent="0.25">
      <c r="F25" s="134"/>
    </row>
    <row r="26" spans="6:6" x14ac:dyDescent="0.25">
      <c r="F26" s="134"/>
    </row>
    <row r="27" spans="6:6" x14ac:dyDescent="0.25">
      <c r="F27" s="134"/>
    </row>
    <row r="28" spans="6:6" x14ac:dyDescent="0.25">
      <c r="F28" s="134"/>
    </row>
    <row r="29" spans="6:6" x14ac:dyDescent="0.25">
      <c r="F29" s="134"/>
    </row>
    <row r="30" spans="6:6" x14ac:dyDescent="0.25">
      <c r="F30" s="134"/>
    </row>
    <row r="31" spans="6:6" x14ac:dyDescent="0.25">
      <c r="F31" s="134"/>
    </row>
    <row r="32" spans="6:6" ht="17.25" thickBot="1" x14ac:dyDescent="0.3">
      <c r="F32" s="135"/>
    </row>
    <row r="33" spans="6:6" x14ac:dyDescent="0.25">
      <c r="F33" s="136" t="s">
        <v>2</v>
      </c>
    </row>
    <row r="34" spans="6:6" ht="17.25" thickBot="1" x14ac:dyDescent="0.3">
      <c r="F34" s="137"/>
    </row>
  </sheetData>
  <mergeCells count="2">
    <mergeCell ref="F14:F32"/>
    <mergeCell ref="F33:F3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W408"/>
  <sheetViews>
    <sheetView tabSelected="1" topLeftCell="A2" zoomScale="70" zoomScaleNormal="70" workbookViewId="0">
      <pane xSplit="1" ySplit="5" topLeftCell="B155" activePane="bottomRight" state="frozen"/>
      <selection activeCell="A2" sqref="A2"/>
      <selection pane="topRight" activeCell="B5" sqref="B5"/>
      <selection pane="bottomLeft" activeCell="B5" sqref="B5"/>
      <selection pane="bottomRight" activeCell="X177" sqref="X177"/>
    </sheetView>
  </sheetViews>
  <sheetFormatPr defaultColWidth="9" defaultRowHeight="19.5" x14ac:dyDescent="0.3"/>
  <cols>
    <col min="1" max="1" width="18.125" style="33" bestFit="1" customWidth="1"/>
    <col min="2" max="2" width="21.75" style="33" customWidth="1"/>
    <col min="3" max="4" width="15" style="33" customWidth="1"/>
    <col min="5" max="5" width="13.5" style="33" customWidth="1"/>
    <col min="6" max="8" width="13.5" style="65" hidden="1" customWidth="1"/>
    <col min="9" max="10" width="14.5" style="33" hidden="1" customWidth="1"/>
    <col min="11" max="11" width="14.5" style="33" customWidth="1"/>
    <col min="12" max="13" width="15.25" style="33" bestFit="1" customWidth="1"/>
    <col min="14" max="14" width="16.875" style="33" customWidth="1"/>
    <col min="15" max="16" width="16.875" style="33" hidden="1" customWidth="1"/>
    <col min="17" max="17" width="13.5" style="33" bestFit="1" customWidth="1"/>
    <col min="18" max="18" width="15.25" style="33" customWidth="1"/>
    <col min="19" max="19" width="10" style="33" bestFit="1" customWidth="1"/>
    <col min="20" max="20" width="16.625" style="33" bestFit="1" customWidth="1"/>
    <col min="21" max="21" width="8.625" style="33" customWidth="1"/>
    <col min="22" max="22" width="8.375" style="33" bestFit="1" customWidth="1"/>
    <col min="23" max="23" width="23.125" style="33" customWidth="1"/>
    <col min="24" max="16384" width="9" style="33"/>
  </cols>
  <sheetData>
    <row r="1" spans="1:21" ht="4.5" hidden="1" customHeight="1" thickBot="1" x14ac:dyDescent="0.3">
      <c r="F1" s="33"/>
      <c r="G1" s="33"/>
      <c r="H1" s="33"/>
    </row>
    <row r="2" spans="1:21" ht="27" customHeight="1" thickBot="1" x14ac:dyDescent="0.45">
      <c r="A2" s="34" t="s">
        <v>3</v>
      </c>
      <c r="B2" s="35">
        <f>按股票分類!D20</f>
        <v>25005784</v>
      </c>
      <c r="C2" s="35"/>
      <c r="D2" s="35"/>
      <c r="E2" s="36">
        <f>按股票分類!D12/按股票分類!D20</f>
        <v>1.5588895353171091</v>
      </c>
      <c r="F2" s="33" t="s">
        <v>4</v>
      </c>
      <c r="G2" s="33"/>
      <c r="H2" s="33"/>
      <c r="I2" s="37"/>
      <c r="J2" s="37"/>
      <c r="K2" s="37"/>
      <c r="S2" s="83"/>
    </row>
    <row r="3" spans="1:21" ht="17.25" x14ac:dyDescent="0.25">
      <c r="A3" s="33" t="s">
        <v>5</v>
      </c>
      <c r="B3" s="38">
        <f>MAX(A:A)</f>
        <v>46280</v>
      </c>
      <c r="C3" s="38"/>
      <c r="D3" s="38"/>
      <c r="F3" s="39"/>
      <c r="G3" s="39"/>
      <c r="H3" s="39"/>
      <c r="M3" s="40"/>
      <c r="N3" s="66"/>
      <c r="O3" s="41"/>
      <c r="P3" s="66"/>
      <c r="Q3" s="101"/>
      <c r="R3" s="42"/>
      <c r="S3" s="83"/>
    </row>
    <row r="4" spans="1:21" ht="17.25" thickBot="1" x14ac:dyDescent="0.3">
      <c r="A4" s="33" t="s">
        <v>6</v>
      </c>
      <c r="B4" s="39">
        <v>36228003.634193651</v>
      </c>
      <c r="C4" s="39"/>
      <c r="D4" s="39"/>
      <c r="F4" s="39"/>
      <c r="G4" s="39"/>
      <c r="H4" s="39"/>
      <c r="M4" s="43"/>
      <c r="N4" s="67"/>
      <c r="O4" s="44"/>
      <c r="P4" s="67"/>
      <c r="Q4" s="102"/>
      <c r="R4" s="45"/>
      <c r="S4" s="83"/>
    </row>
    <row r="5" spans="1:21" s="46" customFormat="1" ht="3.75" customHeight="1" thickBot="1" x14ac:dyDescent="0.3">
      <c r="S5" s="83"/>
    </row>
    <row r="6" spans="1:21" ht="16.5" x14ac:dyDescent="0.25">
      <c r="A6" s="47" t="s">
        <v>7</v>
      </c>
      <c r="B6" s="47" t="s">
        <v>8</v>
      </c>
      <c r="C6" s="77" t="s">
        <v>9</v>
      </c>
      <c r="D6" s="47" t="s">
        <v>10</v>
      </c>
      <c r="E6" s="47" t="s">
        <v>11</v>
      </c>
      <c r="F6" s="47" t="s">
        <v>12</v>
      </c>
      <c r="G6" s="77" t="s">
        <v>9</v>
      </c>
      <c r="H6" s="47" t="s">
        <v>10</v>
      </c>
      <c r="I6" s="47" t="s">
        <v>13</v>
      </c>
      <c r="J6" s="77" t="s">
        <v>9</v>
      </c>
      <c r="K6" s="47" t="s">
        <v>14</v>
      </c>
      <c r="L6" s="47" t="s">
        <v>48</v>
      </c>
      <c r="M6" s="47" t="s">
        <v>58</v>
      </c>
      <c r="N6" s="47" t="s">
        <v>15</v>
      </c>
      <c r="O6" s="47" t="s">
        <v>16</v>
      </c>
      <c r="P6" s="47" t="s">
        <v>17</v>
      </c>
      <c r="Q6" s="47" t="s">
        <v>49</v>
      </c>
      <c r="R6" s="47" t="s">
        <v>18</v>
      </c>
      <c r="S6" s="47" t="s">
        <v>59</v>
      </c>
      <c r="T6" s="47" t="s">
        <v>19</v>
      </c>
      <c r="U6" s="47" t="s">
        <v>20</v>
      </c>
    </row>
    <row r="7" spans="1:21" ht="16.5" x14ac:dyDescent="0.25">
      <c r="A7" s="48">
        <v>46023</v>
      </c>
      <c r="B7" s="49">
        <v>12380372</v>
      </c>
      <c r="C7" s="78">
        <v>10</v>
      </c>
      <c r="D7" s="50">
        <v>1238037</v>
      </c>
      <c r="E7" s="49">
        <v>0</v>
      </c>
      <c r="F7" s="50">
        <v>8610442.1011499986</v>
      </c>
      <c r="G7" s="78">
        <f>F7/H7</f>
        <v>10</v>
      </c>
      <c r="H7" s="50">
        <v>861044.21011499991</v>
      </c>
      <c r="I7" s="51">
        <f>B7-F7</f>
        <v>3769929.8988500014</v>
      </c>
      <c r="J7" s="80" t="e">
        <f>I7/#REF!</f>
        <v>#REF!</v>
      </c>
      <c r="K7" s="51">
        <v>13733308</v>
      </c>
      <c r="L7" s="52">
        <v>65905.98</v>
      </c>
      <c r="M7" s="52">
        <v>504.71</v>
      </c>
      <c r="N7" s="53">
        <v>0</v>
      </c>
      <c r="O7" s="53">
        <v>0</v>
      </c>
      <c r="P7" s="53">
        <v>0</v>
      </c>
      <c r="Q7" s="53">
        <v>0</v>
      </c>
      <c r="R7" s="53">
        <v>0</v>
      </c>
      <c r="S7" s="83">
        <f>C7/MAX($C$7:C7)-1</f>
        <v>0</v>
      </c>
      <c r="T7" s="68">
        <f>K7/B7</f>
        <v>1.1092807227440338</v>
      </c>
      <c r="U7" s="54">
        <v>0</v>
      </c>
    </row>
    <row r="8" spans="1:21" ht="16.5" x14ac:dyDescent="0.25">
      <c r="A8" s="55">
        <v>46024</v>
      </c>
      <c r="B8" s="56">
        <v>12484309</v>
      </c>
      <c r="C8" s="79">
        <v>10.08395467986821</v>
      </c>
      <c r="D8" s="58">
        <v>1238037</v>
      </c>
      <c r="E8" s="58">
        <v>103937</v>
      </c>
      <c r="F8" s="58">
        <v>16182750.353</v>
      </c>
      <c r="G8" s="79" t="e">
        <v>#REF!</v>
      </c>
      <c r="H8" s="58" t="e">
        <v>#REF!</v>
      </c>
      <c r="I8" s="59">
        <v>5551891.5239139982</v>
      </c>
      <c r="J8" s="79">
        <v>3.387033201567561</v>
      </c>
      <c r="K8" s="59">
        <v>13837245</v>
      </c>
      <c r="L8" s="60">
        <v>66784.78</v>
      </c>
      <c r="M8" s="60">
        <v>507.97</v>
      </c>
      <c r="N8" s="61">
        <f t="shared" ref="N8" si="0">C8/C$7-1</f>
        <v>8.3954679868210036E-3</v>
      </c>
      <c r="O8" s="61" t="e">
        <f t="shared" ref="O8" si="1">G8/G$7-1</f>
        <v>#REF!</v>
      </c>
      <c r="P8" s="61" t="e">
        <f t="shared" ref="P8" si="2">J8/J$7-1</f>
        <v>#REF!</v>
      </c>
      <c r="Q8" s="61">
        <f t="shared" ref="Q8" si="3">L8/L$7-1</f>
        <v>1.3334146613099396E-2</v>
      </c>
      <c r="R8" s="61">
        <f t="shared" ref="R8" si="4">M8/M$7-1</f>
        <v>6.4591547621406509E-3</v>
      </c>
      <c r="S8" s="83">
        <v>0</v>
      </c>
      <c r="T8" s="62">
        <v>1.1083709158432398</v>
      </c>
      <c r="U8" s="62">
        <v>0</v>
      </c>
    </row>
    <row r="9" spans="1:21" ht="16.5" x14ac:dyDescent="0.25">
      <c r="A9" s="55">
        <v>46027</v>
      </c>
      <c r="B9" s="56">
        <v>12483816</v>
      </c>
      <c r="C9" s="79">
        <v>10.083556468829284</v>
      </c>
      <c r="D9" s="58">
        <v>1238037</v>
      </c>
      <c r="E9" s="58">
        <v>-493</v>
      </c>
      <c r="F9" s="58">
        <v>16182750.353</v>
      </c>
      <c r="G9" s="79" t="e">
        <v>#REF!</v>
      </c>
      <c r="H9" s="58" t="e">
        <v>#REF!</v>
      </c>
      <c r="I9" s="59">
        <v>5551891.5239139982</v>
      </c>
      <c r="J9" s="79">
        <v>3.387033201567561</v>
      </c>
      <c r="K9" s="59">
        <v>12545898</v>
      </c>
      <c r="L9" s="60">
        <v>68503.289999999994</v>
      </c>
      <c r="M9" s="60">
        <v>503.65</v>
      </c>
      <c r="N9" s="61">
        <f t="shared" ref="N9" si="5">C9/C$7-1</f>
        <v>8.3556468829284469E-3</v>
      </c>
      <c r="O9" s="61" t="e">
        <f t="shared" ref="O9" si="6">G9/G$7-1</f>
        <v>#REF!</v>
      </c>
      <c r="P9" s="61" t="e">
        <f t="shared" ref="P9" si="7">J9/J$7-1</f>
        <v>#REF!</v>
      </c>
      <c r="Q9" s="61">
        <f t="shared" ref="Q9" si="8">L9/L$7-1</f>
        <v>3.9409322188972862E-2</v>
      </c>
      <c r="R9" s="61">
        <f t="shared" ref="R9" si="9">M9/M$7-1</f>
        <v>-2.1002159656040575E-3</v>
      </c>
      <c r="S9" s="83">
        <v>-3.9489570467843293E-5</v>
      </c>
      <c r="T9" s="62">
        <v>1.0049729986408003</v>
      </c>
      <c r="U9" s="62">
        <v>0</v>
      </c>
    </row>
    <row r="10" spans="1:21" ht="16.5" x14ac:dyDescent="0.25">
      <c r="A10" s="55">
        <v>46028</v>
      </c>
      <c r="B10" s="56">
        <v>12849074</v>
      </c>
      <c r="C10" s="79">
        <v>10.378586423507537</v>
      </c>
      <c r="D10" s="58">
        <v>1238037</v>
      </c>
      <c r="E10" s="58">
        <v>365258</v>
      </c>
      <c r="F10" s="58">
        <v>16182750.353</v>
      </c>
      <c r="G10" s="79" t="e">
        <v>#REF!</v>
      </c>
      <c r="H10" s="58" t="e">
        <v>#REF!</v>
      </c>
      <c r="I10" s="59">
        <v>5551891.5239139982</v>
      </c>
      <c r="J10" s="79">
        <v>3.387033201567561</v>
      </c>
      <c r="K10" s="59">
        <v>9940550</v>
      </c>
      <c r="L10" s="60">
        <v>69608.78</v>
      </c>
      <c r="M10" s="60">
        <v>509.7</v>
      </c>
      <c r="N10" s="61">
        <f t="shared" ref="N10" si="10">C10/C$7-1</f>
        <v>3.7858642350753646E-2</v>
      </c>
      <c r="O10" s="61" t="e">
        <f t="shared" ref="O10" si="11">G10/G$7-1</f>
        <v>#REF!</v>
      </c>
      <c r="P10" s="61" t="e">
        <f t="shared" ref="P10" si="12">J10/J$7-1</f>
        <v>#REF!</v>
      </c>
      <c r="Q10" s="61">
        <f t="shared" ref="Q10" si="13">L10/L$7-1</f>
        <v>5.6183065633801377E-2</v>
      </c>
      <c r="R10" s="61">
        <f t="shared" ref="R10" si="14">M10/M$7-1</f>
        <v>9.8868657248716296E-3</v>
      </c>
      <c r="S10" s="83">
        <v>0</v>
      </c>
      <c r="T10" s="62">
        <v>0.77363940778923057</v>
      </c>
      <c r="U10" s="62">
        <v>0</v>
      </c>
    </row>
    <row r="11" spans="1:21" ht="16.5" x14ac:dyDescent="0.25">
      <c r="A11" s="55">
        <v>46029</v>
      </c>
      <c r="B11" s="56">
        <v>12885539</v>
      </c>
      <c r="C11" s="79">
        <v>10.408040308972994</v>
      </c>
      <c r="D11" s="58">
        <v>1238037</v>
      </c>
      <c r="E11" s="58">
        <v>36465</v>
      </c>
      <c r="F11" s="58">
        <v>16182750.353</v>
      </c>
      <c r="G11" s="79" t="e">
        <v>#REF!</v>
      </c>
      <c r="H11" s="58" t="e">
        <v>#REF!</v>
      </c>
      <c r="I11" s="59">
        <v>5551891.5239139982</v>
      </c>
      <c r="J11" s="79">
        <v>3.387033201567561</v>
      </c>
      <c r="K11" s="59">
        <v>10433100</v>
      </c>
      <c r="L11" s="60">
        <v>69288.179999999993</v>
      </c>
      <c r="M11" s="60">
        <v>514.22</v>
      </c>
      <c r="N11" s="61">
        <f t="shared" ref="N11:N12" si="15">C11/C$7-1</f>
        <v>4.0804030897299448E-2</v>
      </c>
      <c r="O11" s="61" t="e">
        <f t="shared" ref="O11:O12" si="16">G11/G$7-1</f>
        <v>#REF!</v>
      </c>
      <c r="P11" s="61" t="e">
        <f t="shared" ref="P11:P12" si="17">J11/J$7-1</f>
        <v>#REF!</v>
      </c>
      <c r="Q11" s="61">
        <f t="shared" ref="Q11:Q12" si="18">L11/L$7-1</f>
        <v>5.1318560167074256E-2</v>
      </c>
      <c r="R11" s="61">
        <f t="shared" ref="R11:R12" si="19">M11/M$7-1</f>
        <v>1.8842503615937867E-2</v>
      </c>
      <c r="S11" s="83">
        <v>0</v>
      </c>
      <c r="T11" s="62">
        <v>0.80967509391729753</v>
      </c>
      <c r="U11" s="62">
        <v>0</v>
      </c>
    </row>
    <row r="12" spans="1:21" ht="16.5" x14ac:dyDescent="0.25">
      <c r="A12" s="55">
        <v>46030</v>
      </c>
      <c r="B12" s="56">
        <v>12816377</v>
      </c>
      <c r="C12" s="79">
        <v>10.352176065820327</v>
      </c>
      <c r="D12" s="58">
        <v>1238037</v>
      </c>
      <c r="E12" s="58">
        <v>-69162</v>
      </c>
      <c r="F12" s="58">
        <v>16182750.353</v>
      </c>
      <c r="G12" s="79" t="e">
        <v>#REF!</v>
      </c>
      <c r="H12" s="58" t="e">
        <v>#REF!</v>
      </c>
      <c r="I12" s="59">
        <v>5551891.5239139982</v>
      </c>
      <c r="J12" s="79">
        <v>3.387033201567561</v>
      </c>
      <c r="K12" s="59">
        <v>10889472</v>
      </c>
      <c r="L12" s="60">
        <v>69114.95955</v>
      </c>
      <c r="M12" s="60">
        <v>511.70032200000003</v>
      </c>
      <c r="N12" s="61">
        <f t="shared" si="15"/>
        <v>3.5217606582032657E-2</v>
      </c>
      <c r="O12" s="61" t="e">
        <f t="shared" si="16"/>
        <v>#REF!</v>
      </c>
      <c r="P12" s="61" t="e">
        <f t="shared" si="17"/>
        <v>#REF!</v>
      </c>
      <c r="Q12" s="61">
        <f t="shared" si="18"/>
        <v>4.8690263766656638E-2</v>
      </c>
      <c r="R12" s="61">
        <f t="shared" si="19"/>
        <v>1.3850175348219862E-2</v>
      </c>
      <c r="S12" s="83">
        <v>-5.3674122595879226E-3</v>
      </c>
      <c r="T12" s="62">
        <v>0.84965290893050349</v>
      </c>
      <c r="U12" s="62">
        <v>0</v>
      </c>
    </row>
    <row r="13" spans="1:21" ht="16.5" x14ac:dyDescent="0.25">
      <c r="A13" s="55">
        <v>46031</v>
      </c>
      <c r="B13" s="56">
        <v>12677733</v>
      </c>
      <c r="C13" s="79">
        <v>10.240189105818324</v>
      </c>
      <c r="D13" s="58">
        <v>1238037</v>
      </c>
      <c r="E13" s="58">
        <v>-138644</v>
      </c>
      <c r="F13" s="58">
        <v>16182750.353</v>
      </c>
      <c r="G13" s="79" t="e">
        <v>#REF!</v>
      </c>
      <c r="H13" s="58" t="e">
        <v>#REF!</v>
      </c>
      <c r="I13" s="59">
        <v>5551891.5239139982</v>
      </c>
      <c r="J13" s="79">
        <v>3.387033201567561</v>
      </c>
      <c r="K13" s="59">
        <v>10613300</v>
      </c>
      <c r="L13" s="60">
        <v>68955.23</v>
      </c>
      <c r="M13" s="60">
        <v>511.35</v>
      </c>
      <c r="N13" s="61">
        <f t="shared" ref="N13:N15" si="20">C13/C$7-1</f>
        <v>2.4018910581832476E-2</v>
      </c>
      <c r="O13" s="61" t="e">
        <f t="shared" ref="O13:O15" si="21">G13/G$7-1</f>
        <v>#REF!</v>
      </c>
      <c r="P13" s="61" t="e">
        <f t="shared" ref="P13:P15" si="22">J13/J$7-1</f>
        <v>#REF!</v>
      </c>
      <c r="Q13" s="61">
        <f t="shared" ref="Q13:Q15" si="23">L13/L$7-1</f>
        <v>4.6266666545281554E-2</v>
      </c>
      <c r="R13" s="61">
        <f t="shared" ref="R13:R15" si="24">M13/M$7-1</f>
        <v>1.3156069822274352E-2</v>
      </c>
      <c r="S13" s="83">
        <v>-1.6127070819466627E-2</v>
      </c>
      <c r="T13" s="62">
        <v>0.83716071319690988</v>
      </c>
      <c r="U13" s="62">
        <v>0</v>
      </c>
    </row>
    <row r="14" spans="1:21" ht="16.5" x14ac:dyDescent="0.25">
      <c r="A14" s="55">
        <v>46034</v>
      </c>
      <c r="B14" s="56">
        <v>12859856</v>
      </c>
      <c r="C14" s="79">
        <v>10.387295371624596</v>
      </c>
      <c r="D14" s="58">
        <v>1238037</v>
      </c>
      <c r="E14" s="58">
        <v>182123</v>
      </c>
      <c r="F14" s="58">
        <v>16182750.353</v>
      </c>
      <c r="G14" s="79" t="e">
        <v>#REF!</v>
      </c>
      <c r="H14" s="58" t="e">
        <v>#REF!</v>
      </c>
      <c r="I14" s="59">
        <v>5551891.5239139982</v>
      </c>
      <c r="J14" s="79">
        <v>3.387033201567561</v>
      </c>
      <c r="K14" s="59">
        <v>11582400</v>
      </c>
      <c r="L14" s="60">
        <v>69588.87</v>
      </c>
      <c r="M14" s="60">
        <v>523.66</v>
      </c>
      <c r="N14" s="61">
        <f t="shared" si="20"/>
        <v>3.8729537162459637E-2</v>
      </c>
      <c r="O14" s="61" t="e">
        <f t="shared" si="21"/>
        <v>#REF!</v>
      </c>
      <c r="P14" s="61" t="e">
        <f t="shared" si="22"/>
        <v>#REF!</v>
      </c>
      <c r="Q14" s="61">
        <f t="shared" si="23"/>
        <v>5.5880968616201399E-2</v>
      </c>
      <c r="R14" s="61">
        <f t="shared" si="24"/>
        <v>3.7546313724713176E-2</v>
      </c>
      <c r="S14" s="83">
        <v>-1.9931645855093549E-3</v>
      </c>
      <c r="T14" s="62">
        <v>0.9006632733679133</v>
      </c>
      <c r="U14" s="62">
        <v>0</v>
      </c>
    </row>
    <row r="15" spans="1:21" ht="16.5" x14ac:dyDescent="0.25">
      <c r="A15" s="55">
        <v>46035</v>
      </c>
      <c r="B15" s="56">
        <v>13181545</v>
      </c>
      <c r="C15" s="79">
        <v>10.647133324771392</v>
      </c>
      <c r="D15" s="58">
        <v>1238037</v>
      </c>
      <c r="E15" s="58">
        <v>321689</v>
      </c>
      <c r="F15" s="58">
        <v>16182750.353</v>
      </c>
      <c r="G15" s="79" t="e">
        <v>#REF!</v>
      </c>
      <c r="H15" s="58" t="e">
        <v>#REF!</v>
      </c>
      <c r="I15" s="59">
        <v>5551891.5239139982</v>
      </c>
      <c r="J15" s="79">
        <v>3.387033201567561</v>
      </c>
      <c r="K15" s="59">
        <v>16090150</v>
      </c>
      <c r="L15" s="60">
        <v>69907.42</v>
      </c>
      <c r="M15" s="60">
        <v>521.44000000000005</v>
      </c>
      <c r="N15" s="61">
        <f t="shared" si="20"/>
        <v>6.4713332477139174E-2</v>
      </c>
      <c r="O15" s="61" t="e">
        <f t="shared" si="21"/>
        <v>#REF!</v>
      </c>
      <c r="P15" s="61" t="e">
        <f t="shared" si="22"/>
        <v>#REF!</v>
      </c>
      <c r="Q15" s="61">
        <f t="shared" si="23"/>
        <v>6.0714369166500637E-2</v>
      </c>
      <c r="R15" s="61">
        <f t="shared" si="24"/>
        <v>3.3147748211844519E-2</v>
      </c>
      <c r="S15" s="83">
        <v>0</v>
      </c>
      <c r="T15" s="62">
        <v>1.2206573660371376</v>
      </c>
      <c r="U15" s="62">
        <v>0</v>
      </c>
    </row>
    <row r="16" spans="1:21" ht="16.5" x14ac:dyDescent="0.25">
      <c r="A16" s="55">
        <v>46036</v>
      </c>
      <c r="B16" s="56">
        <v>13464210</v>
      </c>
      <c r="C16" s="79">
        <v>10.8754504106097</v>
      </c>
      <c r="D16" s="58">
        <v>1238037</v>
      </c>
      <c r="E16" s="58">
        <v>282665</v>
      </c>
      <c r="F16" s="58">
        <v>16182750.353</v>
      </c>
      <c r="G16" s="79" t="e">
        <v>#REF!</v>
      </c>
      <c r="H16" s="58" t="e">
        <v>#REF!</v>
      </c>
      <c r="I16" s="59">
        <v>5551891.5239139982</v>
      </c>
      <c r="J16" s="79">
        <v>3.387033201567561</v>
      </c>
      <c r="K16" s="59">
        <v>18199125</v>
      </c>
      <c r="L16" s="60">
        <v>70441.42</v>
      </c>
      <c r="M16" s="60">
        <v>531.02</v>
      </c>
      <c r="N16" s="61">
        <f t="shared" ref="N16:N18" si="25">C16/C$7-1</f>
        <v>8.7545041060969941E-2</v>
      </c>
      <c r="O16" s="61" t="e">
        <f t="shared" ref="O16:O18" si="26">G16/G$7-1</f>
        <v>#REF!</v>
      </c>
      <c r="P16" s="61" t="e">
        <f t="shared" ref="P16:P18" si="27">J16/J$7-1</f>
        <v>#REF!</v>
      </c>
      <c r="Q16" s="61">
        <f t="shared" ref="Q16:Q18" si="28">L16/L$7-1</f>
        <v>6.881682056772398E-2</v>
      </c>
      <c r="R16" s="61">
        <f t="shared" ref="R16:R18" si="29">M16/M$7-1</f>
        <v>5.2128945334944721E-2</v>
      </c>
      <c r="S16" s="83">
        <v>0</v>
      </c>
      <c r="T16" s="62">
        <v>1.3516667520782875</v>
      </c>
      <c r="U16" s="62">
        <v>0</v>
      </c>
    </row>
    <row r="17" spans="1:21" ht="16.5" x14ac:dyDescent="0.25">
      <c r="A17" s="55">
        <v>46037</v>
      </c>
      <c r="B17" s="56">
        <v>13676785</v>
      </c>
      <c r="C17" s="79">
        <v>11.047153679575004</v>
      </c>
      <c r="D17" s="58">
        <v>1238037</v>
      </c>
      <c r="E17" s="58">
        <v>212575</v>
      </c>
      <c r="F17" s="58">
        <v>16182750.353</v>
      </c>
      <c r="G17" s="79" t="e">
        <v>#REF!</v>
      </c>
      <c r="H17" s="58" t="e">
        <v>#REF!</v>
      </c>
      <c r="I17" s="59">
        <v>5551891.5239139982</v>
      </c>
      <c r="J17" s="79">
        <v>3.387033201567561</v>
      </c>
      <c r="K17" s="59">
        <v>18411700</v>
      </c>
      <c r="L17" s="60">
        <v>70142.740000000005</v>
      </c>
      <c r="M17" s="60">
        <v>532.09</v>
      </c>
      <c r="N17" s="61">
        <f t="shared" si="25"/>
        <v>0.10471536795750036</v>
      </c>
      <c r="O17" s="61" t="e">
        <f t="shared" si="26"/>
        <v>#REF!</v>
      </c>
      <c r="P17" s="61" t="e">
        <f t="shared" si="27"/>
        <v>#REF!</v>
      </c>
      <c r="Q17" s="61">
        <f t="shared" si="28"/>
        <v>6.4284910109826399E-2</v>
      </c>
      <c r="R17" s="61">
        <f t="shared" si="29"/>
        <v>5.4248974658714921E-2</v>
      </c>
      <c r="S17" s="83">
        <v>0</v>
      </c>
      <c r="T17" s="62">
        <v>1.346200879812032</v>
      </c>
      <c r="U17" s="62">
        <v>0</v>
      </c>
    </row>
    <row r="18" spans="1:21" ht="16.5" x14ac:dyDescent="0.25">
      <c r="A18" s="55">
        <v>46038</v>
      </c>
      <c r="B18" s="56">
        <v>13245485</v>
      </c>
      <c r="C18" s="79">
        <v>10.698779600286583</v>
      </c>
      <c r="D18" s="58">
        <v>1238037</v>
      </c>
      <c r="E18" s="58">
        <v>-431300</v>
      </c>
      <c r="F18" s="58">
        <v>16182750.353</v>
      </c>
      <c r="G18" s="79" t="e">
        <v>#REF!</v>
      </c>
      <c r="H18" s="58" t="e">
        <v>#REF!</v>
      </c>
      <c r="I18" s="59">
        <v>5551891.5239139982</v>
      </c>
      <c r="J18" s="79">
        <v>3.387033201567561</v>
      </c>
      <c r="K18" s="59">
        <v>17980400</v>
      </c>
      <c r="L18" s="60">
        <v>71504.42</v>
      </c>
      <c r="M18" s="60">
        <v>535.04999999999995</v>
      </c>
      <c r="N18" s="61">
        <f t="shared" si="25"/>
        <v>6.9877960028658315E-2</v>
      </c>
      <c r="O18" s="61" t="e">
        <f t="shared" si="26"/>
        <v>#REF!</v>
      </c>
      <c r="P18" s="61" t="e">
        <f t="shared" si="27"/>
        <v>#REF!</v>
      </c>
      <c r="Q18" s="61">
        <f t="shared" si="28"/>
        <v>8.4945857720346574E-2</v>
      </c>
      <c r="R18" s="61">
        <f t="shared" si="29"/>
        <v>6.0113728675873279E-2</v>
      </c>
      <c r="S18" s="83">
        <v>-3.1535189008235376E-2</v>
      </c>
      <c r="T18" s="62">
        <v>1.3574738863846814</v>
      </c>
      <c r="U18" s="62">
        <v>0</v>
      </c>
    </row>
    <row r="19" spans="1:21" ht="16.5" x14ac:dyDescent="0.25">
      <c r="A19" s="55">
        <v>46041</v>
      </c>
      <c r="B19" s="56">
        <v>13700907</v>
      </c>
      <c r="C19" s="79">
        <v>11.066637749921853</v>
      </c>
      <c r="D19" s="58">
        <v>1238037</v>
      </c>
      <c r="E19" s="58">
        <v>455422</v>
      </c>
      <c r="F19" s="58">
        <v>16182750.353</v>
      </c>
      <c r="G19" s="79" t="e">
        <v>#REF!</v>
      </c>
      <c r="H19" s="58" t="e">
        <v>#REF!</v>
      </c>
      <c r="I19" s="59">
        <v>5551891.5239139982</v>
      </c>
      <c r="J19" s="79">
        <v>3.387033201567561</v>
      </c>
      <c r="K19" s="59">
        <v>19423170</v>
      </c>
      <c r="L19" s="60">
        <v>72029.36</v>
      </c>
      <c r="M19" s="60">
        <v>539.30999999999995</v>
      </c>
      <c r="N19" s="61">
        <f t="shared" ref="N19:N20" si="30">C19/C$7-1</f>
        <v>0.10666377499218527</v>
      </c>
      <c r="O19" s="61" t="e">
        <f t="shared" ref="O19:O20" si="31">G19/G$7-1</f>
        <v>#REF!</v>
      </c>
      <c r="P19" s="61" t="e">
        <f t="shared" ref="P19:P20" si="32">J19/J$7-1</f>
        <v>#REF!</v>
      </c>
      <c r="Q19" s="61">
        <f t="shared" ref="Q19:Q20" si="33">L19/L$7-1</f>
        <v>9.2910840564088604E-2</v>
      </c>
      <c r="R19" s="61">
        <f t="shared" ref="R19:R20" si="34">M19/M$7-1</f>
        <v>6.8554219254621351E-2</v>
      </c>
      <c r="S19" s="83">
        <v>0</v>
      </c>
      <c r="T19" s="62">
        <v>1.4176557800151479</v>
      </c>
      <c r="U19" s="62">
        <v>0</v>
      </c>
    </row>
    <row r="20" spans="1:21" ht="16.5" x14ac:dyDescent="0.25">
      <c r="A20" s="55">
        <v>46042</v>
      </c>
      <c r="B20" s="56">
        <v>14044654</v>
      </c>
      <c r="C20" s="79">
        <v>11.344292618071997</v>
      </c>
      <c r="D20" s="58">
        <v>1238037</v>
      </c>
      <c r="E20" s="58">
        <v>343747</v>
      </c>
      <c r="F20" s="58">
        <v>16182750.353</v>
      </c>
      <c r="G20" s="79" t="e">
        <v>#REF!</v>
      </c>
      <c r="H20" s="58" t="e">
        <v>#REF!</v>
      </c>
      <c r="I20" s="59">
        <v>5551891.5239139982</v>
      </c>
      <c r="J20" s="79">
        <v>3.387033201567561</v>
      </c>
      <c r="K20" s="59">
        <v>19891145</v>
      </c>
      <c r="L20" s="60">
        <v>72304.149999999994</v>
      </c>
      <c r="M20" s="60">
        <v>543.88</v>
      </c>
      <c r="N20" s="61">
        <f t="shared" si="30"/>
        <v>0.13442926180719961</v>
      </c>
      <c r="O20" s="61" t="e">
        <f t="shared" si="31"/>
        <v>#REF!</v>
      </c>
      <c r="P20" s="61" t="e">
        <f t="shared" si="32"/>
        <v>#REF!</v>
      </c>
      <c r="Q20" s="61">
        <f t="shared" si="33"/>
        <v>9.7080264947126071E-2</v>
      </c>
      <c r="R20" s="61">
        <f t="shared" si="34"/>
        <v>7.7608923936518082E-2</v>
      </c>
      <c r="S20" s="83">
        <v>0</v>
      </c>
      <c r="T20" s="62">
        <v>1.4162787491952453</v>
      </c>
      <c r="U20" s="62">
        <v>0</v>
      </c>
    </row>
    <row r="21" spans="1:21" ht="16.5" x14ac:dyDescent="0.25">
      <c r="A21" s="55">
        <v>46043</v>
      </c>
      <c r="B21" s="56">
        <v>13722819</v>
      </c>
      <c r="C21" s="79">
        <v>11.084336736301095</v>
      </c>
      <c r="D21" s="58">
        <v>1238037</v>
      </c>
      <c r="E21" s="58">
        <v>-321835</v>
      </c>
      <c r="F21" s="58">
        <v>16182750.353</v>
      </c>
      <c r="G21" s="79" t="e">
        <v>#REF!</v>
      </c>
      <c r="H21" s="58" t="e">
        <v>#REF!</v>
      </c>
      <c r="I21" s="59">
        <v>5551891.5239139982</v>
      </c>
      <c r="J21" s="79">
        <v>3.387033201567561</v>
      </c>
      <c r="K21" s="59">
        <v>19569310</v>
      </c>
      <c r="L21" s="60">
        <v>71134.86</v>
      </c>
      <c r="M21" s="60">
        <v>535.75</v>
      </c>
      <c r="N21" s="61">
        <f t="shared" ref="N21:N25" si="35">C21/C$7-1</f>
        <v>0.10843367363010947</v>
      </c>
      <c r="O21" s="61" t="e">
        <f t="shared" ref="O21:O25" si="36">G21/G$7-1</f>
        <v>#REF!</v>
      </c>
      <c r="P21" s="61" t="e">
        <f t="shared" ref="P21:P25" si="37">J21/J$7-1</f>
        <v>#REF!</v>
      </c>
      <c r="Q21" s="61">
        <f t="shared" ref="Q21:Q25" si="38">L21/L$7-1</f>
        <v>7.9338475810541098E-2</v>
      </c>
      <c r="R21" s="61">
        <f t="shared" ref="R21:R25" si="39">M21/M$7-1</f>
        <v>6.150066374749863E-2</v>
      </c>
      <c r="S21" s="83">
        <v>-2.2915124858184588E-2</v>
      </c>
      <c r="T21" s="62">
        <v>1.4260415443794747</v>
      </c>
      <c r="U21" s="62">
        <v>0</v>
      </c>
    </row>
    <row r="22" spans="1:21" ht="16.5" x14ac:dyDescent="0.25">
      <c r="A22" s="55">
        <v>46044</v>
      </c>
      <c r="B22" s="56">
        <v>13826863</v>
      </c>
      <c r="C22" s="79">
        <v>11.168376227851025</v>
      </c>
      <c r="D22" s="58">
        <v>1238037</v>
      </c>
      <c r="E22" s="58">
        <v>104044</v>
      </c>
      <c r="F22" s="58">
        <v>16182750.353</v>
      </c>
      <c r="G22" s="79" t="e">
        <v>#REF!</v>
      </c>
      <c r="H22" s="58" t="e">
        <v>#REF!</v>
      </c>
      <c r="I22" s="59">
        <v>5551891.5239139982</v>
      </c>
      <c r="J22" s="79">
        <v>3.387033201567561</v>
      </c>
      <c r="K22" s="59">
        <v>19638385</v>
      </c>
      <c r="L22" s="60">
        <v>72272.56</v>
      </c>
      <c r="M22" s="60">
        <v>544.27</v>
      </c>
      <c r="N22" s="61">
        <f t="shared" si="35"/>
        <v>0.11683762278510246</v>
      </c>
      <c r="O22" s="61" t="e">
        <f t="shared" si="36"/>
        <v>#REF!</v>
      </c>
      <c r="P22" s="61" t="e">
        <f t="shared" si="37"/>
        <v>#REF!</v>
      </c>
      <c r="Q22" s="61">
        <f t="shared" si="38"/>
        <v>9.6600945771537106E-2</v>
      </c>
      <c r="R22" s="61">
        <f t="shared" si="39"/>
        <v>7.8381644904994996E-2</v>
      </c>
      <c r="S22" s="83">
        <v>-1.5507039190855165E-2</v>
      </c>
      <c r="T22" s="62">
        <v>1.4203066161861877</v>
      </c>
      <c r="U22" s="62">
        <v>0</v>
      </c>
    </row>
    <row r="23" spans="1:21" ht="16.5" x14ac:dyDescent="0.25">
      <c r="A23" s="55">
        <v>46045</v>
      </c>
      <c r="B23" s="56">
        <v>13854239</v>
      </c>
      <c r="C23" s="79">
        <v>11.190488652600852</v>
      </c>
      <c r="D23" s="58">
        <v>1238037</v>
      </c>
      <c r="E23" s="58">
        <v>27376</v>
      </c>
      <c r="F23" s="58">
        <v>16182750.353</v>
      </c>
      <c r="G23" s="79" t="e">
        <v>#REF!</v>
      </c>
      <c r="H23" s="58" t="e">
        <v>#REF!</v>
      </c>
      <c r="I23" s="59">
        <v>5551891.5239139982</v>
      </c>
      <c r="J23" s="79">
        <v>3.387033201567561</v>
      </c>
      <c r="K23" s="59">
        <v>20508450</v>
      </c>
      <c r="L23" s="60">
        <v>72762.98</v>
      </c>
      <c r="M23" s="60">
        <v>546.9</v>
      </c>
      <c r="N23" s="61">
        <f t="shared" si="35"/>
        <v>0.11904886526008518</v>
      </c>
      <c r="O23" s="61" t="e">
        <f t="shared" si="36"/>
        <v>#REF!</v>
      </c>
      <c r="P23" s="61" t="e">
        <f t="shared" si="37"/>
        <v>#REF!</v>
      </c>
      <c r="Q23" s="61">
        <f t="shared" si="38"/>
        <v>0.10404215216889279</v>
      </c>
      <c r="R23" s="61">
        <f t="shared" si="39"/>
        <v>8.3592558102672854E-2</v>
      </c>
      <c r="S23" s="83">
        <v>-1.3557827768487574E-2</v>
      </c>
      <c r="T23" s="62">
        <v>1.48030144420058</v>
      </c>
      <c r="U23" s="62">
        <v>0</v>
      </c>
    </row>
    <row r="24" spans="1:21" ht="16.5" x14ac:dyDescent="0.25">
      <c r="A24" s="55">
        <v>46048</v>
      </c>
      <c r="B24" s="56">
        <v>14136319</v>
      </c>
      <c r="C24" s="79">
        <v>11.418333216212439</v>
      </c>
      <c r="D24" s="58">
        <v>1238037</v>
      </c>
      <c r="E24" s="58">
        <v>282080</v>
      </c>
      <c r="F24" s="58">
        <v>16182750.353</v>
      </c>
      <c r="G24" s="79" t="e">
        <v>#REF!</v>
      </c>
      <c r="H24" s="58" t="e">
        <v>#REF!</v>
      </c>
      <c r="I24" s="59">
        <v>5551891.5239139982</v>
      </c>
      <c r="J24" s="79">
        <v>3.387033201567561</v>
      </c>
      <c r="K24" s="59">
        <v>20923900</v>
      </c>
      <c r="L24" s="60">
        <v>72997.5</v>
      </c>
      <c r="M24" s="60">
        <v>553.09</v>
      </c>
      <c r="N24" s="61">
        <f t="shared" si="35"/>
        <v>0.14183332162124396</v>
      </c>
      <c r="O24" s="61" t="e">
        <f t="shared" si="36"/>
        <v>#REF!</v>
      </c>
      <c r="P24" s="61" t="e">
        <f t="shared" si="37"/>
        <v>#REF!</v>
      </c>
      <c r="Q24" s="61">
        <f t="shared" si="38"/>
        <v>0.10760055460824658</v>
      </c>
      <c r="R24" s="61">
        <f t="shared" si="39"/>
        <v>9.5857026807473655E-2</v>
      </c>
      <c r="S24" s="83">
        <v>0</v>
      </c>
      <c r="T24" s="62">
        <v>1.4801519405440695</v>
      </c>
      <c r="U24" s="62">
        <v>0</v>
      </c>
    </row>
    <row r="25" spans="1:21" ht="16.5" x14ac:dyDescent="0.25">
      <c r="A25" s="55">
        <v>46049</v>
      </c>
      <c r="B25" s="56">
        <v>14331281</v>
      </c>
      <c r="C25" s="79">
        <v>11.575809931367155</v>
      </c>
      <c r="D25" s="58">
        <v>1238037</v>
      </c>
      <c r="E25" s="58">
        <v>194962</v>
      </c>
      <c r="F25" s="58">
        <v>16182750.353</v>
      </c>
      <c r="G25" s="79" t="e">
        <v>#REF!</v>
      </c>
      <c r="H25" s="58" t="e">
        <v>#REF!</v>
      </c>
      <c r="I25" s="59">
        <v>5551891.5239139982</v>
      </c>
      <c r="J25" s="79">
        <v>3.387033201567561</v>
      </c>
      <c r="K25" s="59">
        <v>20148475</v>
      </c>
      <c r="L25" s="60">
        <v>73574.39</v>
      </c>
      <c r="M25" s="60">
        <v>557.87</v>
      </c>
      <c r="N25" s="61">
        <f t="shared" si="35"/>
        <v>0.15758099313671559</v>
      </c>
      <c r="O25" s="61" t="e">
        <f t="shared" si="36"/>
        <v>#REF!</v>
      </c>
      <c r="P25" s="61" t="e">
        <f t="shared" si="37"/>
        <v>#REF!</v>
      </c>
      <c r="Q25" s="61">
        <f t="shared" si="38"/>
        <v>0.11635378155366172</v>
      </c>
      <c r="R25" s="61">
        <f t="shared" si="39"/>
        <v>0.10532781201085784</v>
      </c>
      <c r="S25" s="83">
        <v>0</v>
      </c>
      <c r="T25" s="62">
        <v>1.4059088646716229</v>
      </c>
      <c r="U25" s="62">
        <v>0</v>
      </c>
    </row>
    <row r="26" spans="1:21" ht="16.5" x14ac:dyDescent="0.25">
      <c r="A26" s="55">
        <v>46050</v>
      </c>
      <c r="B26" s="56">
        <v>14863793</v>
      </c>
      <c r="C26" s="79">
        <v>12.005936009990009</v>
      </c>
      <c r="D26" s="58">
        <v>1238037</v>
      </c>
      <c r="E26" s="58">
        <v>532512</v>
      </c>
      <c r="F26" s="58">
        <v>16182750.353</v>
      </c>
      <c r="G26" s="79" t="e">
        <v>#REF!</v>
      </c>
      <c r="H26" s="58" t="e">
        <v>#REF!</v>
      </c>
      <c r="I26" s="59">
        <v>5551891.5239139982</v>
      </c>
      <c r="J26" s="79">
        <v>3.387033201567561</v>
      </c>
      <c r="K26" s="59">
        <v>20365075</v>
      </c>
      <c r="L26" s="60">
        <v>74680.58</v>
      </c>
      <c r="M26" s="60">
        <v>565.21</v>
      </c>
      <c r="N26" s="61">
        <f t="shared" ref="N26:N28" si="40">C26/C$7-1</f>
        <v>0.20059360099900081</v>
      </c>
      <c r="O26" s="61" t="e">
        <f t="shared" ref="O26:O28" si="41">G26/G$7-1</f>
        <v>#REF!</v>
      </c>
      <c r="P26" s="61" t="e">
        <f t="shared" ref="P26:P28" si="42">J26/J$7-1</f>
        <v>#REF!</v>
      </c>
      <c r="Q26" s="61">
        <f t="shared" ref="Q26:Q28" si="43">L26/L$7-1</f>
        <v>0.13313814618946584</v>
      </c>
      <c r="R26" s="61">
        <f t="shared" ref="R26:R28" si="44">M26/M$7-1</f>
        <v>0.11987081690475732</v>
      </c>
      <c r="S26" s="83">
        <v>0</v>
      </c>
      <c r="T26" s="62">
        <v>1.370112931470453</v>
      </c>
      <c r="U26" s="62">
        <v>0</v>
      </c>
    </row>
    <row r="27" spans="1:21" ht="16.5" x14ac:dyDescent="0.25">
      <c r="A27" s="55">
        <v>46051</v>
      </c>
      <c r="B27" s="56">
        <v>14841330</v>
      </c>
      <c r="C27" s="79">
        <v>11.987791964214317</v>
      </c>
      <c r="D27" s="58">
        <v>1238037</v>
      </c>
      <c r="E27" s="58">
        <v>-22463</v>
      </c>
      <c r="F27" s="58">
        <v>16182750.353</v>
      </c>
      <c r="G27" s="79" t="e">
        <v>#REF!</v>
      </c>
      <c r="H27" s="58" t="e">
        <v>#REF!</v>
      </c>
      <c r="I27" s="59">
        <v>5551891.5239139982</v>
      </c>
      <c r="J27" s="79">
        <v>3.387033201567561</v>
      </c>
      <c r="K27" s="59">
        <v>18803025</v>
      </c>
      <c r="L27" s="60">
        <v>74071.48</v>
      </c>
      <c r="M27" s="60">
        <v>558.27</v>
      </c>
      <c r="N27" s="61">
        <f t="shared" si="40"/>
        <v>0.1987791964214316</v>
      </c>
      <c r="O27" s="61" t="e">
        <f t="shared" si="41"/>
        <v>#REF!</v>
      </c>
      <c r="P27" s="61" t="e">
        <f t="shared" si="42"/>
        <v>#REF!</v>
      </c>
      <c r="Q27" s="61">
        <f t="shared" si="43"/>
        <v>0.12389619272788299</v>
      </c>
      <c r="R27" s="61">
        <f t="shared" si="44"/>
        <v>0.10612034633750067</v>
      </c>
      <c r="S27" s="83">
        <v>-1.5112562452935796E-3</v>
      </c>
      <c r="T27" s="62">
        <v>1.2669366559466031</v>
      </c>
      <c r="U27" s="62">
        <v>0</v>
      </c>
    </row>
    <row r="28" spans="1:21" ht="16.5" x14ac:dyDescent="0.25">
      <c r="A28" s="55">
        <v>46052</v>
      </c>
      <c r="B28" s="56">
        <v>14615130</v>
      </c>
      <c r="C28" s="79">
        <v>11.80508336988313</v>
      </c>
      <c r="D28" s="58">
        <v>1238037</v>
      </c>
      <c r="E28" s="58">
        <v>-226200</v>
      </c>
      <c r="F28" s="58">
        <v>16182750.353</v>
      </c>
      <c r="G28" s="79" t="e">
        <v>#REF!</v>
      </c>
      <c r="H28" s="58" t="e">
        <v>#REF!</v>
      </c>
      <c r="I28" s="59">
        <v>5551891.5239139982</v>
      </c>
      <c r="J28" s="79">
        <v>3.387033201567561</v>
      </c>
      <c r="K28" s="59">
        <v>18576825</v>
      </c>
      <c r="L28" s="60">
        <v>72995.759999999995</v>
      </c>
      <c r="M28" s="60">
        <v>549.67999999999995</v>
      </c>
      <c r="N28" s="61">
        <f t="shared" si="40"/>
        <v>0.18050833698831292</v>
      </c>
      <c r="O28" s="61" t="e">
        <f t="shared" si="41"/>
        <v>#REF!</v>
      </c>
      <c r="P28" s="61" t="e">
        <f t="shared" si="42"/>
        <v>#REF!</v>
      </c>
      <c r="Q28" s="61">
        <f t="shared" si="43"/>
        <v>0.10757415336210774</v>
      </c>
      <c r="R28" s="61">
        <f t="shared" si="44"/>
        <v>8.9100671672841747E-2</v>
      </c>
      <c r="S28" s="83">
        <v>-1.6729444496435097E-2</v>
      </c>
      <c r="T28" s="62">
        <v>1.2710680643962797</v>
      </c>
      <c r="U28" s="62">
        <v>0</v>
      </c>
    </row>
    <row r="29" spans="1:21" ht="16.5" x14ac:dyDescent="0.25">
      <c r="A29" s="55">
        <v>46055</v>
      </c>
      <c r="B29" s="56">
        <v>14098399</v>
      </c>
      <c r="C29" s="79">
        <v>11.38770408315745</v>
      </c>
      <c r="D29" s="58">
        <v>1238037</v>
      </c>
      <c r="E29" s="58">
        <v>-516731</v>
      </c>
      <c r="F29" s="58">
        <v>16182750.353</v>
      </c>
      <c r="G29" s="79" t="e">
        <v>#REF!</v>
      </c>
      <c r="H29" s="58" t="e">
        <v>#REF!</v>
      </c>
      <c r="I29" s="59">
        <v>5551891.5239139982</v>
      </c>
      <c r="J29" s="79">
        <v>3.387033201567561</v>
      </c>
      <c r="K29" s="59">
        <v>14727375</v>
      </c>
      <c r="L29" s="60">
        <v>71994.7</v>
      </c>
      <c r="M29" s="60">
        <v>537.88</v>
      </c>
      <c r="N29" s="61">
        <f t="shared" ref="N29" si="45">C29/C$7-1</f>
        <v>0.13877040831574505</v>
      </c>
      <c r="O29" s="61" t="e">
        <f t="shared" ref="O29" si="46">G29/G$7-1</f>
        <v>#REF!</v>
      </c>
      <c r="P29" s="61" t="e">
        <f t="shared" ref="P29" si="47">J29/J$7-1</f>
        <v>#REF!</v>
      </c>
      <c r="Q29" s="61">
        <f t="shared" ref="Q29" si="48">L29/L$7-1</f>
        <v>9.2384939879507133E-2</v>
      </c>
      <c r="R29" s="61">
        <f t="shared" ref="R29" si="49">M29/M$7-1</f>
        <v>6.5720909036872666E-2</v>
      </c>
      <c r="S29" s="83">
        <v>-5.1493854899620883E-2</v>
      </c>
      <c r="T29" s="62">
        <v>1.0446132926157077</v>
      </c>
      <c r="U29" s="62">
        <v>0</v>
      </c>
    </row>
    <row r="30" spans="1:21" ht="16.5" x14ac:dyDescent="0.25">
      <c r="A30" s="55">
        <v>46056</v>
      </c>
      <c r="B30" s="56">
        <v>14150574</v>
      </c>
      <c r="C30" s="79">
        <v>11.429847411668634</v>
      </c>
      <c r="D30" s="58">
        <v>1238037</v>
      </c>
      <c r="E30" s="58">
        <v>52175</v>
      </c>
      <c r="F30" s="58">
        <v>16182750.353</v>
      </c>
      <c r="G30" s="79" t="e">
        <v>#REF!</v>
      </c>
      <c r="H30" s="58" t="e">
        <v>#REF!</v>
      </c>
      <c r="I30" s="59">
        <v>5551891.5239139982</v>
      </c>
      <c r="J30" s="79">
        <v>3.387033201567561</v>
      </c>
      <c r="K30" s="59">
        <v>14779550</v>
      </c>
      <c r="L30" s="60">
        <v>73295.38</v>
      </c>
      <c r="M30" s="60">
        <v>545.08000000000004</v>
      </c>
      <c r="N30" s="61">
        <f t="shared" ref="N30" si="50">C30/C$7-1</f>
        <v>0.14298474116686344</v>
      </c>
      <c r="O30" s="61" t="e">
        <f t="shared" ref="O30" si="51">G30/G$7-1</f>
        <v>#REF!</v>
      </c>
      <c r="P30" s="61" t="e">
        <f t="shared" ref="P30" si="52">J30/J$7-1</f>
        <v>#REF!</v>
      </c>
      <c r="Q30" s="61">
        <f t="shared" ref="Q30" si="53">L30/L$7-1</f>
        <v>0.11212032656217241</v>
      </c>
      <c r="R30" s="61">
        <f t="shared" ref="R30" si="54">M30/M$7-1</f>
        <v>7.9986526916447254E-2</v>
      </c>
      <c r="S30" s="83">
        <v>-4.7983647242665461E-2</v>
      </c>
      <c r="T30" s="62">
        <v>1.0444487976247465</v>
      </c>
      <c r="U30" s="62">
        <v>0</v>
      </c>
    </row>
    <row r="31" spans="1:21" ht="16.5" x14ac:dyDescent="0.25">
      <c r="A31" s="55">
        <v>46057</v>
      </c>
      <c r="B31" s="56">
        <v>14301908</v>
      </c>
      <c r="C31" s="79">
        <v>11.55208446920407</v>
      </c>
      <c r="D31" s="58">
        <v>1238037</v>
      </c>
      <c r="E31" s="58">
        <v>151334</v>
      </c>
      <c r="F31" s="58">
        <v>16182750.353</v>
      </c>
      <c r="G31" s="79" t="e">
        <v>#REF!</v>
      </c>
      <c r="H31" s="58" t="e">
        <v>#REF!</v>
      </c>
      <c r="I31" s="59">
        <v>5551891.5239139982</v>
      </c>
      <c r="J31" s="79">
        <v>3.387033201567561</v>
      </c>
      <c r="K31" s="59">
        <v>14626200</v>
      </c>
      <c r="L31" s="60">
        <v>73510.399999999994</v>
      </c>
      <c r="M31" s="60">
        <v>551.03</v>
      </c>
      <c r="N31" s="61">
        <f t="shared" ref="N31" si="55">C31/C$7-1</f>
        <v>0.15520844692040692</v>
      </c>
      <c r="O31" s="61" t="e">
        <f t="shared" ref="O31" si="56">G31/G$7-1</f>
        <v>#REF!</v>
      </c>
      <c r="P31" s="61" t="e">
        <f t="shared" ref="P31" si="57">J31/J$7-1</f>
        <v>#REF!</v>
      </c>
      <c r="Q31" s="61">
        <f t="shared" ref="Q31" si="58">L31/L$7-1</f>
        <v>0.11538285296721185</v>
      </c>
      <c r="R31" s="61">
        <f t="shared" ref="R31" si="59">M31/M$7-1</f>
        <v>9.1775475025261954E-2</v>
      </c>
      <c r="S31" s="83">
        <v>-3.7802262181665269E-2</v>
      </c>
      <c r="T31" s="62">
        <v>1.0226747368253244</v>
      </c>
      <c r="U31" s="62">
        <v>0</v>
      </c>
    </row>
    <row r="32" spans="1:21" ht="16.5" x14ac:dyDescent="0.25">
      <c r="A32" s="55">
        <v>46058</v>
      </c>
      <c r="B32" s="56">
        <v>13755284</v>
      </c>
      <c r="C32" s="79">
        <v>11.110559700558223</v>
      </c>
      <c r="D32" s="58">
        <v>1238037</v>
      </c>
      <c r="E32" s="58">
        <v>-546624</v>
      </c>
      <c r="F32" s="58">
        <v>16182750.353</v>
      </c>
      <c r="G32" s="79" t="e">
        <v>#REF!</v>
      </c>
      <c r="H32" s="58" t="e">
        <v>#REF!</v>
      </c>
      <c r="I32" s="59">
        <v>5551891.5239139982</v>
      </c>
      <c r="J32" s="79">
        <v>3.387033201567561</v>
      </c>
      <c r="K32" s="59">
        <v>9466600</v>
      </c>
      <c r="L32" s="60">
        <v>72398.2</v>
      </c>
      <c r="M32" s="60">
        <v>541.6</v>
      </c>
      <c r="N32" s="61">
        <f t="shared" ref="N32:N33" si="60">C32/C$7-1</f>
        <v>0.11105597005582224</v>
      </c>
      <c r="O32" s="61" t="e">
        <f t="shared" ref="O32:O33" si="61">G32/G$7-1</f>
        <v>#REF!</v>
      </c>
      <c r="P32" s="61" t="e">
        <f t="shared" ref="P32:P33" si="62">J32/J$7-1</f>
        <v>#REF!</v>
      </c>
      <c r="Q32" s="61">
        <f t="shared" ref="Q32:Q33" si="63">L32/L$7-1</f>
        <v>9.8507297820319195E-2</v>
      </c>
      <c r="R32" s="61">
        <f t="shared" ref="R32:R33" si="64">M32/M$7-1</f>
        <v>7.3091478274652788E-2</v>
      </c>
      <c r="S32" s="83">
        <v>-7.457780123821689E-2</v>
      </c>
      <c r="T32" s="62">
        <v>0.68821552503023564</v>
      </c>
      <c r="U32" s="62">
        <v>0</v>
      </c>
    </row>
    <row r="33" spans="1:21" ht="16.5" x14ac:dyDescent="0.25">
      <c r="A33" s="55">
        <v>46059</v>
      </c>
      <c r="B33" s="56">
        <v>13485906</v>
      </c>
      <c r="C33" s="79">
        <v>10.892974927243692</v>
      </c>
      <c r="D33" s="58">
        <v>1238037</v>
      </c>
      <c r="E33" s="58">
        <v>-269378</v>
      </c>
      <c r="F33" s="58">
        <v>16182750.353</v>
      </c>
      <c r="G33" s="79" t="e">
        <v>#REF!</v>
      </c>
      <c r="H33" s="58" t="e">
        <v>#REF!</v>
      </c>
      <c r="I33" s="59">
        <v>5551891.5239139982</v>
      </c>
      <c r="J33" s="79">
        <v>3.387033201567561</v>
      </c>
      <c r="K33" s="59">
        <v>8187150</v>
      </c>
      <c r="L33" s="60">
        <v>72356.952724224</v>
      </c>
      <c r="M33" s="60">
        <v>531.31684664700003</v>
      </c>
      <c r="N33" s="61">
        <f t="shared" si="60"/>
        <v>8.9297492724369265E-2</v>
      </c>
      <c r="O33" s="61" t="e">
        <f t="shared" si="61"/>
        <v>#REF!</v>
      </c>
      <c r="P33" s="61" t="e">
        <f t="shared" si="62"/>
        <v>#REF!</v>
      </c>
      <c r="Q33" s="61">
        <f t="shared" si="63"/>
        <v>9.7881447544274414E-2</v>
      </c>
      <c r="R33" s="61">
        <f t="shared" si="64"/>
        <v>5.2717098228685977E-2</v>
      </c>
      <c r="S33" s="83">
        <v>-9.27009007727706E-2</v>
      </c>
      <c r="T33" s="62">
        <v>0.60708935684410081</v>
      </c>
      <c r="U33" s="62">
        <v>0</v>
      </c>
    </row>
    <row r="34" spans="1:21" ht="16.5" x14ac:dyDescent="0.25">
      <c r="A34" s="55">
        <v>46062</v>
      </c>
      <c r="B34" s="56">
        <v>13702362</v>
      </c>
      <c r="C34" s="79">
        <v>11.067812997511384</v>
      </c>
      <c r="D34" s="58">
        <v>1238037</v>
      </c>
      <c r="E34" s="58">
        <v>216456</v>
      </c>
      <c r="F34" s="58">
        <v>16182750.353</v>
      </c>
      <c r="G34" s="79" t="e">
        <v>#REF!</v>
      </c>
      <c r="H34" s="58" t="e">
        <v>#REF!</v>
      </c>
      <c r="I34" s="59">
        <v>5551891.5239139982</v>
      </c>
      <c r="J34" s="79">
        <v>3.387033201567561</v>
      </c>
      <c r="K34" s="59">
        <v>9491850</v>
      </c>
      <c r="L34" s="60">
        <v>73771.78</v>
      </c>
      <c r="M34" s="60">
        <v>542.07000000000005</v>
      </c>
      <c r="N34" s="61">
        <f t="shared" ref="N34" si="65">C34/C$7-1</f>
        <v>0.10678129975113837</v>
      </c>
      <c r="O34" s="61" t="e">
        <f t="shared" ref="O34" si="66">G34/G$7-1</f>
        <v>#REF!</v>
      </c>
      <c r="P34" s="61" t="e">
        <f t="shared" ref="P34" si="67">J34/J$7-1</f>
        <v>#REF!</v>
      </c>
      <c r="Q34" s="61">
        <f t="shared" ref="Q34" si="68">L34/L$7-1</f>
        <v>0.11934880567742123</v>
      </c>
      <c r="R34" s="61">
        <f t="shared" ref="R34" si="69">M34/M$7-1</f>
        <v>7.4022706108458403E-2</v>
      </c>
      <c r="S34" s="83">
        <v>-7.8138265246293415E-2</v>
      </c>
      <c r="T34" s="62">
        <v>0.69271633605943272</v>
      </c>
      <c r="U34" s="62">
        <v>0</v>
      </c>
    </row>
    <row r="35" spans="1:21" ht="16.5" x14ac:dyDescent="0.25">
      <c r="A35" s="55">
        <v>46063</v>
      </c>
      <c r="B35" s="56">
        <v>13390586</v>
      </c>
      <c r="C35" s="79">
        <v>10.815982074849137</v>
      </c>
      <c r="D35" s="58">
        <v>1238037</v>
      </c>
      <c r="E35" s="58">
        <v>-311776</v>
      </c>
      <c r="F35" s="58">
        <v>16182750.353</v>
      </c>
      <c r="G35" s="79" t="e">
        <v>#REF!</v>
      </c>
      <c r="H35" s="58" t="e">
        <v>#REF!</v>
      </c>
      <c r="I35" s="59">
        <v>5551891.5239139982</v>
      </c>
      <c r="J35" s="79">
        <v>3.387033201567561</v>
      </c>
      <c r="K35" s="59">
        <v>8453050</v>
      </c>
      <c r="L35" s="60">
        <v>75293.33</v>
      </c>
      <c r="M35" s="60">
        <v>541.89</v>
      </c>
      <c r="N35" s="61">
        <f t="shared" ref="N35:N37" si="70">C35/C$7-1</f>
        <v>8.1598207484913754E-2</v>
      </c>
      <c r="O35" s="61" t="e">
        <f t="shared" ref="O35:O37" si="71">G35/G$7-1</f>
        <v>#REF!</v>
      </c>
      <c r="P35" s="61" t="e">
        <f t="shared" ref="P35:P37" si="72">J35/J$7-1</f>
        <v>#REF!</v>
      </c>
      <c r="Q35" s="61">
        <f t="shared" ref="Q35:Q37" si="73">L35/L$7-1</f>
        <v>0.14243548157542008</v>
      </c>
      <c r="R35" s="61">
        <f t="shared" ref="R35:R37" si="74">M35/M$7-1</f>
        <v>7.3666065661468938E-2</v>
      </c>
      <c r="S35" s="83">
        <v>-9.911379955304811E-2</v>
      </c>
      <c r="T35" s="62">
        <v>0.63126811627213331</v>
      </c>
      <c r="U35" s="62">
        <v>0</v>
      </c>
    </row>
    <row r="36" spans="1:21" ht="16.5" x14ac:dyDescent="0.25">
      <c r="A36" s="55">
        <v>46064</v>
      </c>
      <c r="B36" s="56">
        <v>13662834</v>
      </c>
      <c r="C36" s="79">
        <f>B36/D36</f>
        <v>11.035885034130644</v>
      </c>
      <c r="D36" s="58">
        <v>1238037</v>
      </c>
      <c r="E36" s="58">
        <f>B36-B35</f>
        <v>272248</v>
      </c>
      <c r="F36" s="58">
        <v>16182750.353</v>
      </c>
      <c r="G36" s="79" t="e">
        <v>#REF!</v>
      </c>
      <c r="H36" s="58" t="e">
        <v>#REF!</v>
      </c>
      <c r="I36" s="59">
        <v>5551891.5239139982</v>
      </c>
      <c r="J36" s="79">
        <v>3.387033201567561</v>
      </c>
      <c r="K36" s="59">
        <v>17892033</v>
      </c>
      <c r="L36" s="60">
        <v>76506.14</v>
      </c>
      <c r="M36" s="60">
        <v>544.07000000000005</v>
      </c>
      <c r="N36" s="61">
        <f t="shared" si="70"/>
        <v>0.10358850341306436</v>
      </c>
      <c r="O36" s="61" t="e">
        <f t="shared" si="71"/>
        <v>#REF!</v>
      </c>
      <c r="P36" s="61" t="e">
        <f t="shared" si="72"/>
        <v>#REF!</v>
      </c>
      <c r="Q36" s="61">
        <f t="shared" si="73"/>
        <v>0.1608376053280749</v>
      </c>
      <c r="R36" s="61">
        <f t="shared" si="74"/>
        <v>7.7985377741673689E-2</v>
      </c>
      <c r="S36" s="83">
        <v>-8.18336880767917E-2</v>
      </c>
      <c r="T36" s="62">
        <v>1.3110181005454944</v>
      </c>
      <c r="U36" s="62">
        <v>0</v>
      </c>
    </row>
    <row r="37" spans="1:21" ht="16.5" x14ac:dyDescent="0.25">
      <c r="A37" s="55">
        <v>46076</v>
      </c>
      <c r="B37" s="56">
        <v>13919690</v>
      </c>
      <c r="C37" s="79">
        <v>11.24335540860249</v>
      </c>
      <c r="D37" s="58">
        <v>1238037</v>
      </c>
      <c r="E37" s="58">
        <v>256856</v>
      </c>
      <c r="F37" s="58">
        <v>16182750.353</v>
      </c>
      <c r="G37" s="79" t="e">
        <v>#REF!</v>
      </c>
      <c r="H37" s="58" t="e">
        <v>#REF!</v>
      </c>
      <c r="I37" s="59">
        <v>5551891.5239139982</v>
      </c>
      <c r="J37" s="79">
        <v>3.387033201567561</v>
      </c>
      <c r="K37" s="59">
        <v>20332385</v>
      </c>
      <c r="L37" s="60">
        <v>76887.59</v>
      </c>
      <c r="M37" s="60">
        <v>555.28</v>
      </c>
      <c r="N37" s="61">
        <f t="shared" si="70"/>
        <v>0.12433554086024889</v>
      </c>
      <c r="O37" s="61" t="e">
        <f t="shared" si="71"/>
        <v>#REF!</v>
      </c>
      <c r="P37" s="61" t="e">
        <f t="shared" si="72"/>
        <v>#REF!</v>
      </c>
      <c r="Q37" s="61">
        <f t="shared" si="73"/>
        <v>0.16662539575316226</v>
      </c>
      <c r="R37" s="61">
        <f t="shared" si="74"/>
        <v>0.10019615224584411</v>
      </c>
      <c r="S37" s="83">
        <v>-6.3516963671385929E-2</v>
      </c>
      <c r="T37" s="62">
        <v>1.4606923717410374</v>
      </c>
      <c r="U37" s="62">
        <v>0</v>
      </c>
    </row>
    <row r="38" spans="1:21" ht="16.5" x14ac:dyDescent="0.25">
      <c r="A38" s="55">
        <v>46077</v>
      </c>
      <c r="B38" s="56">
        <v>15176285</v>
      </c>
      <c r="C38" s="79">
        <v>12.258345267548547</v>
      </c>
      <c r="D38" s="58">
        <v>1238037</v>
      </c>
      <c r="E38" s="58">
        <v>1256595</v>
      </c>
      <c r="F38" s="58">
        <v>16182750.353</v>
      </c>
      <c r="G38" s="79" t="e">
        <v>#REF!</v>
      </c>
      <c r="H38" s="58" t="e">
        <v>#REF!</v>
      </c>
      <c r="I38" s="59">
        <v>5551891.5239139982</v>
      </c>
      <c r="J38" s="79">
        <v>3.387033201567561</v>
      </c>
      <c r="K38" s="59">
        <v>21588980</v>
      </c>
      <c r="L38" s="60">
        <v>78999.25</v>
      </c>
      <c r="M38" s="60">
        <v>569.16999999999996</v>
      </c>
      <c r="N38" s="61">
        <f t="shared" ref="N38" si="75">C38/C$7-1</f>
        <v>0.22583452675485471</v>
      </c>
      <c r="O38" s="61" t="e">
        <f t="shared" ref="O38" si="76">G38/G$7-1</f>
        <v>#REF!</v>
      </c>
      <c r="P38" s="61" t="e">
        <f t="shared" ref="P38" si="77">J38/J$7-1</f>
        <v>#REF!</v>
      </c>
      <c r="Q38" s="61">
        <f t="shared" ref="Q38" si="78">L38/L$7-1</f>
        <v>0.1986658873747118</v>
      </c>
      <c r="R38" s="61">
        <f t="shared" ref="R38" si="79">M38/M$7-1</f>
        <v>0.12771690673852309</v>
      </c>
      <c r="S38" s="83">
        <v>0</v>
      </c>
      <c r="T38" s="62">
        <v>1.4225470857986655</v>
      </c>
      <c r="U38" s="62">
        <v>0</v>
      </c>
    </row>
    <row r="39" spans="1:21" ht="16.5" x14ac:dyDescent="0.25">
      <c r="A39" s="55">
        <v>46078</v>
      </c>
      <c r="B39" s="56">
        <v>15679512</v>
      </c>
      <c r="C39" s="79">
        <v>12.664816964274896</v>
      </c>
      <c r="D39" s="58">
        <v>1238037</v>
      </c>
      <c r="E39" s="58">
        <v>503227</v>
      </c>
      <c r="F39" s="58">
        <v>16182750.353</v>
      </c>
      <c r="G39" s="79" t="e">
        <v>#REF!</v>
      </c>
      <c r="H39" s="58" t="e">
        <v>#REF!</v>
      </c>
      <c r="I39" s="59">
        <v>5551891.5239139982</v>
      </c>
      <c r="J39" s="79">
        <v>3.387033201567561</v>
      </c>
      <c r="K39" s="59">
        <v>22977405</v>
      </c>
      <c r="L39" s="60">
        <v>80620.75</v>
      </c>
      <c r="M39" s="60">
        <v>572.46</v>
      </c>
      <c r="N39" s="61">
        <f t="shared" ref="N39:N42" si="80">C39/C$7-1</f>
        <v>0.26648169642748964</v>
      </c>
      <c r="O39" s="61" t="e">
        <f t="shared" ref="O39:O42" si="81">G39/G$7-1</f>
        <v>#REF!</v>
      </c>
      <c r="P39" s="61" t="e">
        <f t="shared" ref="P39:P42" si="82">J39/J$7-1</f>
        <v>#REF!</v>
      </c>
      <c r="Q39" s="61">
        <f t="shared" ref="Q39:Q42" si="83">L39/L$7-1</f>
        <v>0.22326911761269619</v>
      </c>
      <c r="R39" s="61">
        <f t="shared" ref="R39:R42" si="84">M39/M$7-1</f>
        <v>0.13423550157516217</v>
      </c>
      <c r="S39" s="83">
        <v>0</v>
      </c>
      <c r="T39" s="62">
        <v>1.4654413351640025</v>
      </c>
      <c r="U39" s="62">
        <v>0</v>
      </c>
    </row>
    <row r="40" spans="1:21" ht="16.5" x14ac:dyDescent="0.25">
      <c r="A40" s="55">
        <v>46079</v>
      </c>
      <c r="B40" s="56">
        <v>15793540</v>
      </c>
      <c r="C40" s="79">
        <v>12.756920835160823</v>
      </c>
      <c r="D40" s="58">
        <v>1238037</v>
      </c>
      <c r="E40" s="58">
        <v>114028</v>
      </c>
      <c r="F40" s="58">
        <v>16182750.353</v>
      </c>
      <c r="G40" s="79" t="e">
        <v>#REF!</v>
      </c>
      <c r="H40" s="58" t="e">
        <v>#REF!</v>
      </c>
      <c r="I40" s="59">
        <v>5551891.5239139982</v>
      </c>
      <c r="J40" s="79">
        <v>3.387033201567561</v>
      </c>
      <c r="K40" s="59">
        <v>25677050</v>
      </c>
      <c r="L40" s="60">
        <v>80623.98</v>
      </c>
      <c r="M40" s="60">
        <v>578.84</v>
      </c>
      <c r="N40" s="61">
        <f t="shared" si="80"/>
        <v>0.27569208351608232</v>
      </c>
      <c r="O40" s="61" t="e">
        <f t="shared" si="81"/>
        <v>#REF!</v>
      </c>
      <c r="P40" s="61" t="e">
        <f t="shared" si="82"/>
        <v>#REF!</v>
      </c>
      <c r="Q40" s="61">
        <f t="shared" si="83"/>
        <v>0.22331812682248264</v>
      </c>
      <c r="R40" s="61">
        <f t="shared" si="84"/>
        <v>0.14687642408511836</v>
      </c>
      <c r="S40" s="83">
        <v>0</v>
      </c>
      <c r="T40" s="62">
        <v>1.6257944703973903</v>
      </c>
      <c r="U40" s="62">
        <v>0</v>
      </c>
    </row>
    <row r="41" spans="1:21" ht="16.5" x14ac:dyDescent="0.25">
      <c r="A41" s="55">
        <v>46083</v>
      </c>
      <c r="B41" s="56">
        <v>15833840</v>
      </c>
      <c r="C41" s="79">
        <v>12.78947236633477</v>
      </c>
      <c r="D41" s="58">
        <v>1238037</v>
      </c>
      <c r="E41" s="58">
        <v>40300</v>
      </c>
      <c r="F41" s="58">
        <v>16182750.353</v>
      </c>
      <c r="G41" s="79" t="e">
        <v>#REF!</v>
      </c>
      <c r="H41" s="58" t="e">
        <v>#REF!</v>
      </c>
      <c r="I41" s="59">
        <v>5551891.5239139982</v>
      </c>
      <c r="J41" s="79">
        <v>3.387033201567561</v>
      </c>
      <c r="K41" s="59">
        <v>25717350</v>
      </c>
      <c r="L41" s="60">
        <v>79898.36417999999</v>
      </c>
      <c r="M41" s="60">
        <v>577.50866800000006</v>
      </c>
      <c r="N41" s="61">
        <f t="shared" si="80"/>
        <v>0.27894723663347709</v>
      </c>
      <c r="O41" s="61" t="e">
        <f t="shared" si="81"/>
        <v>#REF!</v>
      </c>
      <c r="P41" s="61" t="e">
        <f t="shared" si="82"/>
        <v>#REF!</v>
      </c>
      <c r="Q41" s="61">
        <f t="shared" si="83"/>
        <v>0.21230826368108024</v>
      </c>
      <c r="R41" s="61">
        <f t="shared" si="84"/>
        <v>0.14423860830972268</v>
      </c>
      <c r="S41" s="83">
        <v>0</v>
      </c>
      <c r="T41" s="62">
        <v>1.6242017097558141</v>
      </c>
      <c r="U41" s="62">
        <v>0</v>
      </c>
    </row>
    <row r="42" spans="1:21" ht="16.5" x14ac:dyDescent="0.25">
      <c r="A42" s="55">
        <v>46084</v>
      </c>
      <c r="B42" s="56">
        <v>14707335</v>
      </c>
      <c r="C42" s="79">
        <v>11.879560142386698</v>
      </c>
      <c r="D42" s="58">
        <v>1238037</v>
      </c>
      <c r="E42" s="58">
        <v>-1126505</v>
      </c>
      <c r="F42" s="58">
        <v>16182750.353</v>
      </c>
      <c r="G42" s="79" t="e">
        <v>#REF!</v>
      </c>
      <c r="H42" s="58" t="e">
        <v>#REF!</v>
      </c>
      <c r="I42" s="59">
        <v>5551891.5239139982</v>
      </c>
      <c r="J42" s="79">
        <v>3.387033201567561</v>
      </c>
      <c r="K42" s="59">
        <v>23299180</v>
      </c>
      <c r="L42" s="60">
        <v>78140.600000000006</v>
      </c>
      <c r="M42" s="60">
        <v>564.38</v>
      </c>
      <c r="N42" s="61">
        <f t="shared" si="80"/>
        <v>0.18795601423866981</v>
      </c>
      <c r="O42" s="61" t="e">
        <f t="shared" si="81"/>
        <v>#REF!</v>
      </c>
      <c r="P42" s="61" t="e">
        <f t="shared" si="82"/>
        <v>#REF!</v>
      </c>
      <c r="Q42" s="61">
        <f t="shared" si="83"/>
        <v>0.18563747933040387</v>
      </c>
      <c r="R42" s="61">
        <f t="shared" si="84"/>
        <v>0.11822630817697299</v>
      </c>
      <c r="S42" s="83">
        <v>-7.1145407557484441E-2</v>
      </c>
      <c r="T42" s="62">
        <v>1.5841877539336664</v>
      </c>
      <c r="U42" s="62">
        <v>0</v>
      </c>
    </row>
    <row r="43" spans="1:21" ht="16.5" x14ac:dyDescent="0.25">
      <c r="A43" s="55">
        <v>46085</v>
      </c>
      <c r="B43" s="56">
        <v>12983661</v>
      </c>
      <c r="C43" s="79">
        <v>10.487296421673989</v>
      </c>
      <c r="D43" s="58">
        <v>1238037</v>
      </c>
      <c r="E43" s="58">
        <v>-1723674</v>
      </c>
      <c r="F43" s="58">
        <v>16182750.353</v>
      </c>
      <c r="G43" s="79" t="e">
        <v>#REF!</v>
      </c>
      <c r="H43" s="58" t="e">
        <v>#REF!</v>
      </c>
      <c r="I43" s="59">
        <v>5551891.5239139982</v>
      </c>
      <c r="J43" s="79">
        <v>3.387033201567561</v>
      </c>
      <c r="K43" s="59">
        <v>4594450</v>
      </c>
      <c r="L43" s="60">
        <v>74727.64</v>
      </c>
      <c r="M43" s="60">
        <v>536.95113200000003</v>
      </c>
      <c r="N43" s="61">
        <f t="shared" ref="N43:N45" si="85">C43/C$7-1</f>
        <v>4.8729642167398834E-2</v>
      </c>
      <c r="O43" s="61" t="e">
        <f t="shared" ref="O43:O45" si="86">G43/G$7-1</f>
        <v>#REF!</v>
      </c>
      <c r="P43" s="61" t="e">
        <f t="shared" ref="P43:P45" si="87">J43/J$7-1</f>
        <v>#REF!</v>
      </c>
      <c r="Q43" s="61">
        <f t="shared" ref="Q43:Q45" si="88">L43/L$7-1</f>
        <v>0.13385219368561097</v>
      </c>
      <c r="R43" s="61">
        <f t="shared" ref="R43:R45" si="89">M43/M$7-1</f>
        <v>6.3880509599572033E-2</v>
      </c>
      <c r="S43" s="83">
        <v>-0.1800055450857152</v>
      </c>
      <c r="T43" s="62">
        <v>0.35386398335569608</v>
      </c>
      <c r="U43" s="62">
        <v>0</v>
      </c>
    </row>
    <row r="44" spans="1:21" ht="16.5" x14ac:dyDescent="0.25">
      <c r="A44" s="55">
        <v>46086</v>
      </c>
      <c r="B44" s="56">
        <v>13209080</v>
      </c>
      <c r="C44" s="79">
        <v>10.669374178639249</v>
      </c>
      <c r="D44" s="58">
        <v>1238037</v>
      </c>
      <c r="E44" s="58">
        <v>225419</v>
      </c>
      <c r="F44" s="58">
        <v>16182750.353</v>
      </c>
      <c r="G44" s="79" t="e">
        <v>#REF!</v>
      </c>
      <c r="H44" s="58" t="e">
        <v>#REF!</v>
      </c>
      <c r="I44" s="59">
        <v>5551891.5239139982</v>
      </c>
      <c r="J44" s="79">
        <v>3.387033201567561</v>
      </c>
      <c r="K44" s="59">
        <v>8807400</v>
      </c>
      <c r="L44" s="60">
        <v>76659.210000000006</v>
      </c>
      <c r="M44" s="60">
        <v>555.97</v>
      </c>
      <c r="N44" s="61">
        <f t="shared" si="85"/>
        <v>6.693741786392482E-2</v>
      </c>
      <c r="O44" s="61" t="e">
        <f t="shared" si="86"/>
        <v>#REF!</v>
      </c>
      <c r="P44" s="61" t="e">
        <f t="shared" si="87"/>
        <v>#REF!</v>
      </c>
      <c r="Q44" s="61">
        <f t="shared" si="88"/>
        <v>0.16316015633179282</v>
      </c>
      <c r="R44" s="61">
        <f t="shared" si="89"/>
        <v>0.10156327395930353</v>
      </c>
      <c r="S44" s="83">
        <v>-0.16576901118111598</v>
      </c>
      <c r="T44" s="62">
        <v>0.66676861673939447</v>
      </c>
      <c r="U44" s="62">
        <v>0</v>
      </c>
    </row>
    <row r="45" spans="1:21" ht="16.5" x14ac:dyDescent="0.25">
      <c r="A45" s="55">
        <v>46087</v>
      </c>
      <c r="B45" s="56">
        <v>13453109</v>
      </c>
      <c r="C45" s="79">
        <v>10.866483796526275</v>
      </c>
      <c r="D45" s="58">
        <v>1238037</v>
      </c>
      <c r="E45" s="58">
        <v>244029</v>
      </c>
      <c r="F45" s="58">
        <v>16182750.353</v>
      </c>
      <c r="G45" s="79" t="e">
        <v>#REF!</v>
      </c>
      <c r="H45" s="58" t="e">
        <v>#REF!</v>
      </c>
      <c r="I45" s="59">
        <v>5551891.5239139982</v>
      </c>
      <c r="J45" s="79">
        <v>3.387033201567561</v>
      </c>
      <c r="K45" s="59">
        <v>9890564</v>
      </c>
      <c r="L45" s="60">
        <v>76492.11</v>
      </c>
      <c r="M45" s="60">
        <v>560.13</v>
      </c>
      <c r="N45" s="61">
        <f t="shared" si="85"/>
        <v>8.6648379652627394E-2</v>
      </c>
      <c r="O45" s="61" t="e">
        <f t="shared" si="86"/>
        <v>#REF!</v>
      </c>
      <c r="P45" s="61" t="e">
        <f t="shared" si="87"/>
        <v>#REF!</v>
      </c>
      <c r="Q45" s="61">
        <f t="shared" si="88"/>
        <v>0.16062472631466829</v>
      </c>
      <c r="R45" s="61">
        <f t="shared" si="89"/>
        <v>0.10980563095639084</v>
      </c>
      <c r="S45" s="83">
        <v>-0.15035714646604992</v>
      </c>
      <c r="T45" s="62">
        <v>0.73518797773808275</v>
      </c>
      <c r="U45" s="62">
        <v>0</v>
      </c>
    </row>
    <row r="46" spans="1:21" ht="16.5" x14ac:dyDescent="0.25">
      <c r="A46" s="55">
        <v>46090</v>
      </c>
      <c r="B46" s="56">
        <v>12676583</v>
      </c>
      <c r="C46" s="79">
        <v>10.239260215970928</v>
      </c>
      <c r="D46" s="58">
        <v>1238037</v>
      </c>
      <c r="E46" s="58">
        <v>-776526</v>
      </c>
      <c r="F46" s="58">
        <v>16182750.353</v>
      </c>
      <c r="G46" s="79" t="e">
        <v>#REF!</v>
      </c>
      <c r="H46" s="58" t="e">
        <v>#REF!</v>
      </c>
      <c r="I46" s="59">
        <v>5551891.5239139982</v>
      </c>
      <c r="J46" s="79">
        <v>3.387033201567561</v>
      </c>
      <c r="K46" s="59">
        <v>9114038</v>
      </c>
      <c r="L46" s="60">
        <v>73103.509527000002</v>
      </c>
      <c r="M46" s="60">
        <v>528.09056399999997</v>
      </c>
      <c r="N46" s="61">
        <f t="shared" ref="N46:N48" si="90">C46/C$7-1</f>
        <v>2.3926021597092895E-2</v>
      </c>
      <c r="O46" s="61" t="e">
        <f t="shared" ref="O46:O48" si="91">G46/G$7-1</f>
        <v>#REF!</v>
      </c>
      <c r="P46" s="61" t="e">
        <f t="shared" ref="P46:P48" si="92">J46/J$7-1</f>
        <v>#REF!</v>
      </c>
      <c r="Q46" s="61">
        <f t="shared" ref="Q46:Q48" si="93">L46/L$7-1</f>
        <v>0.10920905093892852</v>
      </c>
      <c r="R46" s="61">
        <f t="shared" ref="R46:R48" si="94">M46/M$7-1</f>
        <v>4.6324748865685272E-2</v>
      </c>
      <c r="S46" s="83">
        <v>-0.19939932448477438</v>
      </c>
      <c r="T46" s="62">
        <v>0.71896645965241579</v>
      </c>
      <c r="U46" s="62">
        <v>0</v>
      </c>
    </row>
    <row r="47" spans="1:21" ht="16.5" x14ac:dyDescent="0.25">
      <c r="A47" s="55">
        <v>46091</v>
      </c>
      <c r="B47" s="56">
        <v>12977430</v>
      </c>
      <c r="C47" s="79">
        <v>10.482263454161709</v>
      </c>
      <c r="D47" s="58">
        <v>1238037</v>
      </c>
      <c r="E47" s="58">
        <v>300847</v>
      </c>
      <c r="F47" s="58">
        <v>16182750.353</v>
      </c>
      <c r="G47" s="79" t="e">
        <v>#REF!</v>
      </c>
      <c r="H47" s="58" t="e">
        <v>#REF!</v>
      </c>
      <c r="I47" s="59">
        <v>5551891.5239139982</v>
      </c>
      <c r="J47" s="79">
        <v>3.387033201567561</v>
      </c>
      <c r="K47" s="59">
        <v>9473355</v>
      </c>
      <c r="L47" s="60">
        <v>74607.850000000006</v>
      </c>
      <c r="M47" s="60">
        <v>543.75</v>
      </c>
      <c r="N47" s="61">
        <f t="shared" si="90"/>
        <v>4.8226345416170879E-2</v>
      </c>
      <c r="O47" s="61" t="e">
        <f t="shared" si="91"/>
        <v>#REF!</v>
      </c>
      <c r="P47" s="61" t="e">
        <f t="shared" si="92"/>
        <v>#REF!</v>
      </c>
      <c r="Q47" s="61">
        <f t="shared" si="93"/>
        <v>0.13203460444712323</v>
      </c>
      <c r="R47" s="61">
        <f t="shared" si="94"/>
        <v>7.735135028035911E-2</v>
      </c>
      <c r="S47" s="83">
        <v>-0.18039906933504446</v>
      </c>
      <c r="T47" s="62">
        <v>0.72998698509643278</v>
      </c>
      <c r="U47" s="62">
        <v>0</v>
      </c>
    </row>
    <row r="48" spans="1:21" ht="16.5" x14ac:dyDescent="0.25">
      <c r="A48" s="55">
        <v>46092</v>
      </c>
      <c r="B48" s="56">
        <v>13418097</v>
      </c>
      <c r="C48" s="79">
        <v>10.838203543189744</v>
      </c>
      <c r="D48" s="58">
        <v>1238037</v>
      </c>
      <c r="E48" s="58">
        <v>440667</v>
      </c>
      <c r="F48" s="58">
        <v>16182750.353</v>
      </c>
      <c r="G48" s="79" t="e">
        <v>#REF!</v>
      </c>
      <c r="H48" s="58" t="e">
        <v>#REF!</v>
      </c>
      <c r="I48" s="59">
        <v>5551891.5239139982</v>
      </c>
      <c r="J48" s="79">
        <v>3.387033201567561</v>
      </c>
      <c r="K48" s="59">
        <v>17363195</v>
      </c>
      <c r="L48" s="60">
        <v>77663.740000000005</v>
      </c>
      <c r="M48" s="60">
        <v>569.29999999999995</v>
      </c>
      <c r="N48" s="61">
        <f t="shared" si="90"/>
        <v>8.3820354318974388E-2</v>
      </c>
      <c r="O48" s="61" t="e">
        <f t="shared" si="91"/>
        <v>#REF!</v>
      </c>
      <c r="P48" s="61" t="e">
        <f t="shared" si="92"/>
        <v>#REF!</v>
      </c>
      <c r="Q48" s="61">
        <f t="shared" si="93"/>
        <v>0.17840202057537136</v>
      </c>
      <c r="R48" s="61">
        <f t="shared" si="94"/>
        <v>0.12797448039468207</v>
      </c>
      <c r="S48" s="83">
        <v>-0.15256835991774576</v>
      </c>
      <c r="T48" s="62">
        <v>1.2940132270619298</v>
      </c>
      <c r="U48" s="62">
        <v>0</v>
      </c>
    </row>
    <row r="49" spans="1:21" ht="16.5" x14ac:dyDescent="0.25">
      <c r="A49" s="55">
        <v>46093</v>
      </c>
      <c r="B49" s="56">
        <v>13646703</v>
      </c>
      <c r="C49" s="79">
        <v>11.022855536627743</v>
      </c>
      <c r="D49" s="58">
        <v>1238037</v>
      </c>
      <c r="E49" s="58">
        <v>228606</v>
      </c>
      <c r="F49" s="58">
        <v>16182750.353</v>
      </c>
      <c r="G49" s="79" t="e">
        <v>#REF!</v>
      </c>
      <c r="H49" s="58" t="e">
        <v>#REF!</v>
      </c>
      <c r="I49" s="59">
        <v>5551891.5239139982</v>
      </c>
      <c r="J49" s="79">
        <v>3.387033201567561</v>
      </c>
      <c r="K49" s="59">
        <v>19003542</v>
      </c>
      <c r="L49" s="60">
        <v>76452.479999999996</v>
      </c>
      <c r="M49" s="60">
        <v>569.46</v>
      </c>
      <c r="N49" s="61">
        <f t="shared" ref="N49" si="95">C49/C$7-1</f>
        <v>0.10228555366277425</v>
      </c>
      <c r="O49" s="61" t="e">
        <f t="shared" ref="O49" si="96">G49/G$7-1</f>
        <v>#REF!</v>
      </c>
      <c r="P49" s="61" t="e">
        <f t="shared" ref="P49" si="97">J49/J$7-1</f>
        <v>#REF!</v>
      </c>
      <c r="Q49" s="61">
        <f t="shared" ref="Q49" si="98">L49/L$7-1</f>
        <v>0.16002341517416174</v>
      </c>
      <c r="R49" s="61">
        <f t="shared" ref="R49" si="99">M49/M$7-1</f>
        <v>0.12829149412533947</v>
      </c>
      <c r="S49" s="83">
        <v>-0.13813054824350879</v>
      </c>
      <c r="T49" s="62">
        <v>1.3925372304211501</v>
      </c>
      <c r="U49" s="62">
        <v>0</v>
      </c>
    </row>
    <row r="50" spans="1:21" ht="16.5" x14ac:dyDescent="0.25">
      <c r="A50" s="55">
        <v>46094</v>
      </c>
      <c r="B50" s="56">
        <v>13810934</v>
      </c>
      <c r="C50" s="79">
        <v>11.155509891869144</v>
      </c>
      <c r="D50" s="58">
        <v>1238037</v>
      </c>
      <c r="E50" s="58">
        <v>164231</v>
      </c>
      <c r="F50" s="58">
        <v>16182750.353</v>
      </c>
      <c r="G50" s="79" t="e">
        <v>#REF!</v>
      </c>
      <c r="H50" s="58" t="e">
        <v>#REF!</v>
      </c>
      <c r="I50" s="59">
        <v>5551891.5239139982</v>
      </c>
      <c r="J50" s="79">
        <v>3.387033201567561</v>
      </c>
      <c r="K50" s="59">
        <v>19167773</v>
      </c>
      <c r="L50" s="60">
        <v>76039.19</v>
      </c>
      <c r="M50" s="60">
        <v>571.84</v>
      </c>
      <c r="N50" s="61">
        <f t="shared" ref="N50" si="100">C50/C$7-1</f>
        <v>0.11555098918691442</v>
      </c>
      <c r="O50" s="61" t="e">
        <f t="shared" ref="O50" si="101">G50/G$7-1</f>
        <v>#REF!</v>
      </c>
      <c r="P50" s="61" t="e">
        <f t="shared" ref="P50" si="102">J50/J$7-1</f>
        <v>#REF!</v>
      </c>
      <c r="Q50" s="61">
        <f t="shared" ref="Q50" si="103">L50/L$7-1</f>
        <v>0.15375251229099396</v>
      </c>
      <c r="R50" s="61">
        <f t="shared" ref="R50" si="104">M50/M$7-1</f>
        <v>0.1330070733688653</v>
      </c>
      <c r="S50" s="83">
        <v>-0.12775839594185623</v>
      </c>
      <c r="T50" s="62">
        <v>1.3878694228790029</v>
      </c>
      <c r="U50" s="62">
        <v>0</v>
      </c>
    </row>
    <row r="51" spans="1:21" ht="16.5" x14ac:dyDescent="0.25">
      <c r="A51" s="55">
        <v>46097</v>
      </c>
      <c r="B51" s="56">
        <v>13858697</v>
      </c>
      <c r="C51" s="79">
        <v>11.194089514287537</v>
      </c>
      <c r="D51" s="58">
        <v>1238037</v>
      </c>
      <c r="E51" s="58">
        <v>47763</v>
      </c>
      <c r="F51" s="58">
        <v>16182750.353</v>
      </c>
      <c r="G51" s="79" t="e">
        <v>#REF!</v>
      </c>
      <c r="H51" s="58" t="e">
        <v>#REF!</v>
      </c>
      <c r="I51" s="59">
        <v>5551891.5239139982</v>
      </c>
      <c r="J51" s="79">
        <v>3.387033201567561</v>
      </c>
      <c r="K51" s="59">
        <v>19918694</v>
      </c>
      <c r="L51" s="60">
        <v>75907.87</v>
      </c>
      <c r="M51" s="60">
        <v>579.69000000000005</v>
      </c>
      <c r="N51" s="61">
        <f t="shared" ref="N51:N53" si="105">C51/C$7-1</f>
        <v>0.11940895142875374</v>
      </c>
      <c r="O51" s="61" t="e">
        <f t="shared" ref="O51:O53" si="106">G51/G$7-1</f>
        <v>#REF!</v>
      </c>
      <c r="P51" s="61" t="e">
        <f t="shared" ref="P51:P53" si="107">J51/J$7-1</f>
        <v>#REF!</v>
      </c>
      <c r="Q51" s="61">
        <f t="shared" ref="Q51:Q53" si="108">L51/L$7-1</f>
        <v>0.15175997686401144</v>
      </c>
      <c r="R51" s="61">
        <f t="shared" ref="R51:R53" si="109">M51/M$7-1</f>
        <v>0.14856055952923475</v>
      </c>
      <c r="S51" s="83">
        <v>-0.12474188194398839</v>
      </c>
      <c r="T51" s="62">
        <v>1.4372703292380229</v>
      </c>
      <c r="U51" s="62">
        <v>0</v>
      </c>
    </row>
    <row r="52" spans="1:21" ht="16.5" x14ac:dyDescent="0.25">
      <c r="A52" s="55">
        <v>46098</v>
      </c>
      <c r="B52" s="56">
        <v>14080772</v>
      </c>
      <c r="C52" s="79">
        <v>11.373466221122632</v>
      </c>
      <c r="D52" s="58">
        <v>1238037</v>
      </c>
      <c r="E52" s="58">
        <v>222075</v>
      </c>
      <c r="F52" s="58">
        <v>16182750.353</v>
      </c>
      <c r="G52" s="79" t="e">
        <v>#REF!</v>
      </c>
      <c r="H52" s="58" t="e">
        <v>#REF!</v>
      </c>
      <c r="I52" s="59">
        <v>5551891.5239139982</v>
      </c>
      <c r="J52" s="79">
        <v>3.387033201567561</v>
      </c>
      <c r="K52" s="59">
        <v>19270288</v>
      </c>
      <c r="L52" s="60">
        <v>77143.47</v>
      </c>
      <c r="M52" s="60">
        <v>586.704249</v>
      </c>
      <c r="N52" s="61">
        <f t="shared" si="105"/>
        <v>0.13734662211226323</v>
      </c>
      <c r="O52" s="61" t="e">
        <f t="shared" si="106"/>
        <v>#REF!</v>
      </c>
      <c r="P52" s="61" t="e">
        <f t="shared" si="107"/>
        <v>#REF!</v>
      </c>
      <c r="Q52" s="61">
        <f t="shared" si="108"/>
        <v>0.17050789624856511</v>
      </c>
      <c r="R52" s="61">
        <f t="shared" si="109"/>
        <v>0.16245814229953837</v>
      </c>
      <c r="S52" s="83">
        <v>-0.11071654128120534</v>
      </c>
      <c r="T52" s="62">
        <v>1.3685533719315959</v>
      </c>
      <c r="U52" s="62">
        <v>0</v>
      </c>
    </row>
    <row r="53" spans="1:21" ht="16.5" x14ac:dyDescent="0.25">
      <c r="A53" s="55">
        <v>46099</v>
      </c>
      <c r="B53" s="56">
        <v>14881141</v>
      </c>
      <c r="C53" s="79">
        <v>12.019948515270546</v>
      </c>
      <c r="D53" s="58">
        <v>1238037</v>
      </c>
      <c r="E53" s="58">
        <v>800369</v>
      </c>
      <c r="F53" s="58">
        <v>16182750.353</v>
      </c>
      <c r="G53" s="79" t="e">
        <v>#REF!</v>
      </c>
      <c r="H53" s="58" t="e">
        <v>#REF!</v>
      </c>
      <c r="I53" s="59">
        <v>5551891.5239139982</v>
      </c>
      <c r="J53" s="79">
        <v>3.387033201567561</v>
      </c>
      <c r="K53" s="59">
        <v>20862163</v>
      </c>
      <c r="L53" s="60">
        <v>78308.336396999992</v>
      </c>
      <c r="M53" s="60">
        <v>602.01722989890004</v>
      </c>
      <c r="N53" s="61">
        <f t="shared" si="105"/>
        <v>0.20199485152705465</v>
      </c>
      <c r="O53" s="61" t="e">
        <f t="shared" si="106"/>
        <v>#REF!</v>
      </c>
      <c r="P53" s="61" t="e">
        <f t="shared" si="107"/>
        <v>#REF!</v>
      </c>
      <c r="Q53" s="61">
        <f t="shared" si="108"/>
        <v>0.18818256548191825</v>
      </c>
      <c r="R53" s="61">
        <f t="shared" si="109"/>
        <v>0.19279829981355645</v>
      </c>
      <c r="S53" s="83">
        <v>-6.0168537764686225E-2</v>
      </c>
      <c r="T53" s="62">
        <v>1.4019195839888889</v>
      </c>
      <c r="U53" s="62">
        <v>0</v>
      </c>
    </row>
    <row r="54" spans="1:21" ht="16.5" x14ac:dyDescent="0.25">
      <c r="A54" s="55">
        <v>46100</v>
      </c>
      <c r="B54" s="56">
        <v>15547755</v>
      </c>
      <c r="C54" s="79">
        <v>12.55839284286334</v>
      </c>
      <c r="D54" s="58">
        <v>1238037</v>
      </c>
      <c r="E54" s="58">
        <v>666614</v>
      </c>
      <c r="F54" s="58">
        <v>16182750.353</v>
      </c>
      <c r="G54" s="79" t="e">
        <v>#REF!</v>
      </c>
      <c r="H54" s="58" t="e">
        <v>#REF!</v>
      </c>
      <c r="I54" s="59">
        <v>5551891.5239139982</v>
      </c>
      <c r="J54" s="79">
        <v>3.387033201567561</v>
      </c>
      <c r="K54" s="59">
        <v>21515988</v>
      </c>
      <c r="L54" s="60">
        <v>76819.8</v>
      </c>
      <c r="M54" s="60">
        <v>602.72</v>
      </c>
      <c r="N54" s="61">
        <f t="shared" ref="N54" si="110">C54/C$7-1</f>
        <v>0.25583928428633396</v>
      </c>
      <c r="O54" s="61" t="e">
        <f t="shared" ref="O54" si="111">G54/G$7-1</f>
        <v>#REF!</v>
      </c>
      <c r="P54" s="61" t="e">
        <f t="shared" ref="P54" si="112">J54/J$7-1</f>
        <v>#REF!</v>
      </c>
      <c r="Q54" s="61">
        <f t="shared" ref="Q54" si="113">L54/L$7-1</f>
        <v>0.16559680927284615</v>
      </c>
      <c r="R54" s="61">
        <f t="shared" ref="R54" si="114">M54/M$7-1</f>
        <v>0.19419072338570675</v>
      </c>
      <c r="S54" s="83">
        <v>-1.8067948141448964E-2</v>
      </c>
      <c r="T54" s="62">
        <v>1.3838646158239565</v>
      </c>
      <c r="U54" s="62">
        <v>0</v>
      </c>
    </row>
    <row r="55" spans="1:21" ht="16.5" x14ac:dyDescent="0.25">
      <c r="A55" s="55">
        <v>46101</v>
      </c>
      <c r="B55" s="56">
        <v>15234717</v>
      </c>
      <c r="C55" s="79">
        <v>12.305542564559863</v>
      </c>
      <c r="D55" s="58">
        <v>1238037</v>
      </c>
      <c r="E55" s="58">
        <v>-313038</v>
      </c>
      <c r="F55" s="58">
        <v>16182750.353</v>
      </c>
      <c r="G55" s="79" t="e">
        <v>#REF!</v>
      </c>
      <c r="H55" s="58" t="e">
        <v>#REF!</v>
      </c>
      <c r="I55" s="59">
        <v>5551891.5239139982</v>
      </c>
      <c r="J55" s="79">
        <v>3.387033201567561</v>
      </c>
      <c r="K55" s="59">
        <v>19023050</v>
      </c>
      <c r="L55" s="60">
        <v>76490.31</v>
      </c>
      <c r="M55" s="60">
        <v>600.57000000000005</v>
      </c>
      <c r="N55" s="61">
        <f t="shared" ref="N55" si="115">C55/C$7-1</f>
        <v>0.23055425645598637</v>
      </c>
      <c r="O55" s="61" t="e">
        <f t="shared" ref="O55" si="116">G55/G$7-1</f>
        <v>#REF!</v>
      </c>
      <c r="P55" s="61" t="e">
        <f t="shared" ref="P55" si="117">J55/J$7-1</f>
        <v>#REF!</v>
      </c>
      <c r="Q55" s="61">
        <f t="shared" ref="Q55" si="118">L55/L$7-1</f>
        <v>0.16059741468073163</v>
      </c>
      <c r="R55" s="61">
        <f t="shared" ref="R55" si="119">M55/M$7-1</f>
        <v>0.18993085138000065</v>
      </c>
      <c r="S55" s="83">
        <v>-3.7838136548051571E-2</v>
      </c>
      <c r="T55" s="62">
        <v>1.2486644812634196</v>
      </c>
      <c r="U55" s="62">
        <v>0</v>
      </c>
    </row>
    <row r="56" spans="1:21" ht="16.5" x14ac:dyDescent="0.25">
      <c r="A56" s="55">
        <v>46104</v>
      </c>
      <c r="B56" s="56">
        <v>14510098</v>
      </c>
      <c r="C56" s="79">
        <v>11.720245840794743</v>
      </c>
      <c r="D56" s="58">
        <v>1238037</v>
      </c>
      <c r="E56" s="58">
        <v>-724619</v>
      </c>
      <c r="F56" s="58">
        <v>16182750.353</v>
      </c>
      <c r="G56" s="79" t="e">
        <v>#REF!</v>
      </c>
      <c r="H56" s="58" t="e">
        <v>#REF!</v>
      </c>
      <c r="I56" s="59">
        <v>5551891.5239139982</v>
      </c>
      <c r="J56" s="79">
        <v>3.387033201567561</v>
      </c>
      <c r="K56" s="59">
        <v>17272695</v>
      </c>
      <c r="L56" s="60">
        <v>74617.31</v>
      </c>
      <c r="M56" s="60">
        <v>579.78</v>
      </c>
      <c r="N56" s="61">
        <f t="shared" ref="N56:N58" si="120">C56/C$7-1</f>
        <v>0.1720245840794743</v>
      </c>
      <c r="O56" s="61" t="e">
        <f t="shared" ref="O56:O58" si="121">G56/G$7-1</f>
        <v>#REF!</v>
      </c>
      <c r="P56" s="61" t="e">
        <f t="shared" ref="P56:P58" si="122">J56/J$7-1</f>
        <v>#REF!</v>
      </c>
      <c r="Q56" s="61">
        <f t="shared" ref="Q56:Q58" si="123">L56/L$7-1</f>
        <v>0.13217814225659041</v>
      </c>
      <c r="R56" s="61">
        <f t="shared" ref="R56:R58" si="124">M56/M$7-1</f>
        <v>0.14873887975272937</v>
      </c>
      <c r="S56" s="83">
        <v>-8.3602082628092766E-2</v>
      </c>
      <c r="T56" s="62">
        <v>1.1903913398793033</v>
      </c>
      <c r="U56" s="62">
        <v>0</v>
      </c>
    </row>
    <row r="57" spans="1:21" ht="16.5" x14ac:dyDescent="0.25">
      <c r="A57" s="55">
        <v>46105</v>
      </c>
      <c r="B57" s="56">
        <v>14212238</v>
      </c>
      <c r="C57" s="79">
        <v>11.479655293016283</v>
      </c>
      <c r="D57" s="58">
        <v>1238037</v>
      </c>
      <c r="E57" s="58">
        <v>-297860</v>
      </c>
      <c r="F57" s="58">
        <v>16182750.353</v>
      </c>
      <c r="G57" s="79" t="e">
        <v>#REF!</v>
      </c>
      <c r="H57" s="58" t="e">
        <v>#REF!</v>
      </c>
      <c r="I57" s="59">
        <v>5551891.5239139982</v>
      </c>
      <c r="J57" s="79">
        <v>3.387033201567561</v>
      </c>
      <c r="K57" s="59">
        <v>14336315</v>
      </c>
      <c r="L57" s="60">
        <v>74363.611145999996</v>
      </c>
      <c r="M57" s="60">
        <v>571.95297000000005</v>
      </c>
      <c r="N57" s="61">
        <f t="shared" si="120"/>
        <v>0.14796552930162821</v>
      </c>
      <c r="O57" s="61" t="e">
        <f t="shared" si="121"/>
        <v>#REF!</v>
      </c>
      <c r="P57" s="61" t="e">
        <f t="shared" si="122"/>
        <v>#REF!</v>
      </c>
      <c r="Q57" s="61">
        <f t="shared" si="123"/>
        <v>0.12832873657291799</v>
      </c>
      <c r="R57" s="61">
        <f t="shared" si="124"/>
        <v>0.13323090487606759</v>
      </c>
      <c r="S57" s="83">
        <v>-0.10241369118293486</v>
      </c>
      <c r="T57" s="62">
        <v>1.0087302928645017</v>
      </c>
      <c r="U57" s="62">
        <v>0</v>
      </c>
    </row>
    <row r="58" spans="1:21" ht="16.5" x14ac:dyDescent="0.25">
      <c r="A58" s="55">
        <v>46106</v>
      </c>
      <c r="B58" s="56">
        <v>14819269</v>
      </c>
      <c r="C58" s="79">
        <v>11.969972626020063</v>
      </c>
      <c r="D58" s="58">
        <v>1238037</v>
      </c>
      <c r="E58" s="58">
        <v>607031</v>
      </c>
      <c r="F58" s="58">
        <v>16182750.353</v>
      </c>
      <c r="G58" s="79" t="e">
        <v>#REF!</v>
      </c>
      <c r="H58" s="58" t="e">
        <v>#REF!</v>
      </c>
      <c r="I58" s="59">
        <v>5551891.5239139982</v>
      </c>
      <c r="J58" s="79">
        <v>3.387033201567561</v>
      </c>
      <c r="K58" s="59">
        <v>15787545</v>
      </c>
      <c r="L58" s="60">
        <v>76258.509999999995</v>
      </c>
      <c r="M58" s="60">
        <v>594.23</v>
      </c>
      <c r="N58" s="61">
        <f t="shared" si="120"/>
        <v>0.19699726260200623</v>
      </c>
      <c r="O58" s="61" t="e">
        <f t="shared" si="121"/>
        <v>#REF!</v>
      </c>
      <c r="P58" s="61" t="e">
        <f t="shared" si="122"/>
        <v>#REF!</v>
      </c>
      <c r="Q58" s="61">
        <f t="shared" si="123"/>
        <v>0.15708028315488209</v>
      </c>
      <c r="R58" s="61">
        <f t="shared" si="124"/>
        <v>0.17736918230270859</v>
      </c>
      <c r="S58" s="83">
        <v>-6.4076117985277126E-2</v>
      </c>
      <c r="T58" s="62">
        <v>1.0653389853440138</v>
      </c>
      <c r="U58" s="62">
        <v>0</v>
      </c>
    </row>
    <row r="59" spans="1:21" ht="16.5" x14ac:dyDescent="0.25">
      <c r="A59" s="55">
        <v>46107</v>
      </c>
      <c r="B59" s="56">
        <v>14974649</v>
      </c>
      <c r="C59" s="79">
        <v>12.095477760357728</v>
      </c>
      <c r="D59" s="58">
        <v>1238037</v>
      </c>
      <c r="E59" s="58">
        <v>155380</v>
      </c>
      <c r="F59" s="58">
        <v>16182750.353</v>
      </c>
      <c r="G59" s="79" t="e">
        <v>#REF!</v>
      </c>
      <c r="H59" s="58" t="e">
        <v>#REF!</v>
      </c>
      <c r="I59" s="59">
        <v>5551891.5239139982</v>
      </c>
      <c r="J59" s="79">
        <v>3.387033201567561</v>
      </c>
      <c r="K59" s="59">
        <v>15942925</v>
      </c>
      <c r="L59" s="60">
        <v>76035.179999999993</v>
      </c>
      <c r="M59" s="60">
        <v>590.88</v>
      </c>
      <c r="N59" s="61">
        <f t="shared" ref="N59:N61" si="125">C59/C$7-1</f>
        <v>0.20954777603577268</v>
      </c>
      <c r="O59" s="61" t="e">
        <f t="shared" ref="O59:O61" si="126">G59/G$7-1</f>
        <v>#REF!</v>
      </c>
      <c r="P59" s="61" t="e">
        <f t="shared" ref="P59:P61" si="127">J59/J$7-1</f>
        <v>#REF!</v>
      </c>
      <c r="Q59" s="61">
        <f t="shared" ref="Q59:Q61" si="128">L59/L$7-1</f>
        <v>0.15369166803983481</v>
      </c>
      <c r="R59" s="61">
        <f t="shared" ref="R59:R61" si="129">M59/M$7-1</f>
        <v>0.1707317073170731</v>
      </c>
      <c r="S59" s="83">
        <v>-5.4262958322175758E-2</v>
      </c>
      <c r="T59" s="62">
        <v>1.0646610147590103</v>
      </c>
      <c r="U59" s="62">
        <v>0</v>
      </c>
    </row>
    <row r="60" spans="1:21" ht="16.5" x14ac:dyDescent="0.25">
      <c r="A60" s="55">
        <v>46108</v>
      </c>
      <c r="B60" s="56">
        <v>15209761</v>
      </c>
      <c r="C60" s="79">
        <v>12.28538484714108</v>
      </c>
      <c r="D60" s="58">
        <v>1238037</v>
      </c>
      <c r="E60" s="58">
        <v>235112</v>
      </c>
      <c r="F60" s="58">
        <v>16182750.353</v>
      </c>
      <c r="G60" s="79" t="e">
        <v>#REF!</v>
      </c>
      <c r="H60" s="58" t="e">
        <v>#REF!</v>
      </c>
      <c r="I60" s="59">
        <v>5551891.5239139982</v>
      </c>
      <c r="J60" s="79">
        <v>3.387033201567561</v>
      </c>
      <c r="K60" s="59">
        <v>17505335</v>
      </c>
      <c r="L60" s="60">
        <v>74864.238228000002</v>
      </c>
      <c r="M60" s="60">
        <v>584.14396799999997</v>
      </c>
      <c r="N60" s="61">
        <f t="shared" si="125"/>
        <v>0.22853848471410787</v>
      </c>
      <c r="O60" s="61" t="e">
        <f t="shared" si="126"/>
        <v>#REF!</v>
      </c>
      <c r="P60" s="61" t="e">
        <f t="shared" si="127"/>
        <v>#REF!</v>
      </c>
      <c r="Q60" s="61">
        <f t="shared" si="128"/>
        <v>0.13592481635202147</v>
      </c>
      <c r="R60" s="61">
        <f t="shared" si="129"/>
        <v>0.15738536585365859</v>
      </c>
      <c r="S60" s="83">
        <v>-3.9414254533328585E-2</v>
      </c>
      <c r="T60" s="62">
        <v>1.1509276838735336</v>
      </c>
      <c r="U60" s="62">
        <v>0</v>
      </c>
    </row>
    <row r="61" spans="1:21" ht="16.5" x14ac:dyDescent="0.25">
      <c r="A61" s="55">
        <v>46111</v>
      </c>
      <c r="B61" s="56">
        <v>14620761</v>
      </c>
      <c r="C61" s="79">
        <v>11.80963169921416</v>
      </c>
      <c r="D61" s="58">
        <v>1238037</v>
      </c>
      <c r="E61" s="58">
        <v>-589000</v>
      </c>
      <c r="F61" s="58">
        <v>16182750.353</v>
      </c>
      <c r="G61" s="79" t="e">
        <v>#REF!</v>
      </c>
      <c r="H61" s="58" t="e">
        <v>#REF!</v>
      </c>
      <c r="I61" s="59">
        <v>5551891.5239139982</v>
      </c>
      <c r="J61" s="79">
        <v>3.387033201567561</v>
      </c>
      <c r="K61" s="59">
        <v>16916335</v>
      </c>
      <c r="L61" s="60">
        <v>74173.91</v>
      </c>
      <c r="M61" s="60">
        <v>586.62</v>
      </c>
      <c r="N61" s="61">
        <f t="shared" si="125"/>
        <v>0.18096316992141603</v>
      </c>
      <c r="O61" s="61" t="e">
        <f t="shared" si="126"/>
        <v>#REF!</v>
      </c>
      <c r="P61" s="61" t="e">
        <f t="shared" si="127"/>
        <v>#REF!</v>
      </c>
      <c r="Q61" s="61">
        <f t="shared" si="128"/>
        <v>0.12545037643018131</v>
      </c>
      <c r="R61" s="61">
        <f t="shared" si="129"/>
        <v>0.16229121673832503</v>
      </c>
      <c r="S61" s="83">
        <v>-7.6613064171420109E-2</v>
      </c>
      <c r="T61" s="62">
        <v>1.1570078329028153</v>
      </c>
      <c r="U61" s="62">
        <v>0</v>
      </c>
    </row>
    <row r="62" spans="1:21" ht="16.5" x14ac:dyDescent="0.25">
      <c r="A62" s="55">
        <v>46112</v>
      </c>
      <c r="B62" s="56">
        <v>13740556</v>
      </c>
      <c r="C62" s="79">
        <v>11.098663448669143</v>
      </c>
      <c r="D62" s="58">
        <v>1238037</v>
      </c>
      <c r="E62" s="58">
        <v>-880205</v>
      </c>
      <c r="F62" s="58">
        <v>16182750.353</v>
      </c>
      <c r="G62" s="79" t="e">
        <v>#REF!</v>
      </c>
      <c r="H62" s="58" t="e">
        <v>#REF!</v>
      </c>
      <c r="I62" s="59">
        <v>5551891.5239139982</v>
      </c>
      <c r="J62" s="79">
        <v>3.387033201567561</v>
      </c>
      <c r="K62" s="59">
        <v>11814430</v>
      </c>
      <c r="L62" s="60">
        <v>72360.160000000003</v>
      </c>
      <c r="M62" s="60">
        <v>563.5</v>
      </c>
      <c r="N62" s="61">
        <f t="shared" ref="N62:N63" si="130">C62/C$7-1</f>
        <v>0.10986634486691438</v>
      </c>
      <c r="O62" s="61" t="e">
        <f t="shared" ref="O62:O63" si="131">G62/G$7-1</f>
        <v>#REF!</v>
      </c>
      <c r="P62" s="61" t="e">
        <f t="shared" ref="P62:P63" si="132">J62/J$7-1</f>
        <v>#REF!</v>
      </c>
      <c r="Q62" s="61">
        <f t="shared" ref="Q62:Q63" si="133">L62/L$7-1</f>
        <v>9.7930111956456845E-2</v>
      </c>
      <c r="R62" s="61">
        <f t="shared" ref="R62:R63" si="134">M62/M$7-1</f>
        <v>0.1164827326583584</v>
      </c>
      <c r="S62" s="83">
        <v>-0.132203180024555</v>
      </c>
      <c r="T62" s="62">
        <v>0.85982182962610831</v>
      </c>
      <c r="U62" s="62">
        <v>0</v>
      </c>
    </row>
    <row r="63" spans="1:21" ht="16.5" x14ac:dyDescent="0.25">
      <c r="A63" s="55">
        <v>46113</v>
      </c>
      <c r="B63" s="56">
        <v>14607863</v>
      </c>
      <c r="C63" s="79">
        <v>11.799213593777893</v>
      </c>
      <c r="D63" s="58">
        <v>1238037</v>
      </c>
      <c r="E63" s="58">
        <v>867307</v>
      </c>
      <c r="F63" s="58">
        <v>16182750.353</v>
      </c>
      <c r="G63" s="79" t="e">
        <v>#REF!</v>
      </c>
      <c r="H63" s="58" t="e">
        <v>#REF!</v>
      </c>
      <c r="I63" s="59">
        <v>5551891.5239139982</v>
      </c>
      <c r="J63" s="79">
        <v>3.387033201567561</v>
      </c>
      <c r="K63" s="59">
        <v>13150690</v>
      </c>
      <c r="L63" s="60">
        <v>75674.58</v>
      </c>
      <c r="M63" s="60">
        <v>588.19000000000005</v>
      </c>
      <c r="N63" s="61">
        <f t="shared" si="130"/>
        <v>0.1799213593777893</v>
      </c>
      <c r="O63" s="61" t="e">
        <f t="shared" si="131"/>
        <v>#REF!</v>
      </c>
      <c r="P63" s="61" t="e">
        <f t="shared" si="132"/>
        <v>#REF!</v>
      </c>
      <c r="Q63" s="61">
        <f t="shared" si="133"/>
        <v>0.14822023737451451</v>
      </c>
      <c r="R63" s="61">
        <f t="shared" si="134"/>
        <v>0.16540191397039905</v>
      </c>
      <c r="S63" s="83">
        <v>-7.7427648631033241E-2</v>
      </c>
      <c r="T63" s="62">
        <v>0.90024735308648496</v>
      </c>
      <c r="U63" s="62">
        <v>0</v>
      </c>
    </row>
    <row r="64" spans="1:21" ht="16.5" x14ac:dyDescent="0.25">
      <c r="A64" s="55">
        <v>46114</v>
      </c>
      <c r="B64" s="56">
        <v>14677410</v>
      </c>
      <c r="C64" s="79">
        <v>11.855388813096862</v>
      </c>
      <c r="D64" s="58">
        <v>1238037</v>
      </c>
      <c r="E64" s="58">
        <v>69547</v>
      </c>
      <c r="F64" s="58">
        <v>16182750.353</v>
      </c>
      <c r="G64" s="79" t="e">
        <v>#REF!</v>
      </c>
      <c r="H64" s="58" t="e">
        <v>#REF!</v>
      </c>
      <c r="I64" s="59">
        <v>5551891.5239139982</v>
      </c>
      <c r="J64" s="79">
        <v>3.387033201567561</v>
      </c>
      <c r="K64" s="59">
        <v>13906390</v>
      </c>
      <c r="L64" s="60">
        <v>74300.61</v>
      </c>
      <c r="M64" s="60">
        <v>582.21</v>
      </c>
      <c r="N64" s="61">
        <f t="shared" ref="N64" si="135">C64/C$7-1</f>
        <v>0.18553888130968632</v>
      </c>
      <c r="O64" s="61" t="e">
        <f t="shared" ref="O64" si="136">G64/G$7-1</f>
        <v>#REF!</v>
      </c>
      <c r="P64" s="61" t="e">
        <f t="shared" ref="P64" si="137">J64/J$7-1</f>
        <v>#REF!</v>
      </c>
      <c r="Q64" s="61">
        <f t="shared" ref="Q64" si="138">L64/L$7-1</f>
        <v>0.12737281199672634</v>
      </c>
      <c r="R64" s="61">
        <f t="shared" ref="R64" si="139">M64/M$7-1</f>
        <v>0.1535535257870857</v>
      </c>
      <c r="S64" s="83">
        <v>-7.3035347079419832E-2</v>
      </c>
      <c r="T64" s="62">
        <v>0.94746893355162798</v>
      </c>
      <c r="U64" s="62">
        <v>0</v>
      </c>
    </row>
    <row r="65" spans="1:21" ht="16.5" x14ac:dyDescent="0.25">
      <c r="A65" s="55">
        <v>46119</v>
      </c>
      <c r="B65" s="56">
        <v>15271758</v>
      </c>
      <c r="C65" s="79">
        <v>12.335461702679321</v>
      </c>
      <c r="D65" s="58">
        <v>1238037</v>
      </c>
      <c r="E65" s="58">
        <v>594348</v>
      </c>
      <c r="F65" s="58">
        <v>16182750.353</v>
      </c>
      <c r="G65" s="79" t="e">
        <v>#REF!</v>
      </c>
      <c r="H65" s="58" t="e">
        <v>#REF!</v>
      </c>
      <c r="I65" s="59">
        <v>5551891.5239139982</v>
      </c>
      <c r="J65" s="79">
        <v>3.387033201567561</v>
      </c>
      <c r="K65" s="59">
        <v>15795880</v>
      </c>
      <c r="L65" s="60">
        <v>75800.17</v>
      </c>
      <c r="M65" s="60">
        <v>596.33000000000004</v>
      </c>
      <c r="N65" s="61">
        <f t="shared" ref="N65:N67" si="140">C65/C$7-1</f>
        <v>0.23354617026793223</v>
      </c>
      <c r="O65" s="61" t="e">
        <f t="shared" ref="O65:O67" si="141">G65/G$7-1</f>
        <v>#REF!</v>
      </c>
      <c r="P65" s="61" t="e">
        <f t="shared" ref="P65:P67" si="142">J65/J$7-1</f>
        <v>#REF!</v>
      </c>
      <c r="Q65" s="61">
        <f t="shared" ref="Q65:Q67" si="143">L65/L$7-1</f>
        <v>0.15012583076679853</v>
      </c>
      <c r="R65" s="61">
        <f t="shared" ref="R65:R67" si="144">M65/M$7-1</f>
        <v>0.18152998751758442</v>
      </c>
      <c r="S65" s="83">
        <v>-3.5498779828519234E-2</v>
      </c>
      <c r="T65" s="62">
        <v>1.0343196899793723</v>
      </c>
      <c r="U65" s="62">
        <v>0</v>
      </c>
    </row>
    <row r="66" spans="1:21" ht="16.5" x14ac:dyDescent="0.25">
      <c r="A66" s="55">
        <v>46120</v>
      </c>
      <c r="B66" s="56">
        <v>16442257</v>
      </c>
      <c r="C66" s="79">
        <v>13.280909213537237</v>
      </c>
      <c r="D66" s="58">
        <v>1238037</v>
      </c>
      <c r="E66" s="58">
        <v>1170499</v>
      </c>
      <c r="F66" s="58">
        <v>16182750.353</v>
      </c>
      <c r="G66" s="79" t="e">
        <v>#REF!</v>
      </c>
      <c r="H66" s="58" t="e">
        <v>#REF!</v>
      </c>
      <c r="I66" s="59">
        <v>5551891.5239139982</v>
      </c>
      <c r="J66" s="79">
        <v>3.387033201567561</v>
      </c>
      <c r="K66" s="59">
        <v>17868580</v>
      </c>
      <c r="L66" s="60">
        <v>79293.86</v>
      </c>
      <c r="M66" s="60">
        <v>624.91999999999996</v>
      </c>
      <c r="N66" s="61">
        <f t="shared" si="140"/>
        <v>0.32809092135372375</v>
      </c>
      <c r="O66" s="61" t="e">
        <f t="shared" si="141"/>
        <v>#REF!</v>
      </c>
      <c r="P66" s="61" t="e">
        <f t="shared" si="142"/>
        <v>#REF!</v>
      </c>
      <c r="Q66" s="61">
        <f t="shared" si="143"/>
        <v>0.20313604319365264</v>
      </c>
      <c r="R66" s="61">
        <f t="shared" si="144"/>
        <v>0.23817637851439444</v>
      </c>
      <c r="S66" s="83">
        <v>0</v>
      </c>
      <c r="T66" s="62">
        <v>1.0867473972703383</v>
      </c>
      <c r="U66" s="62">
        <v>0</v>
      </c>
    </row>
    <row r="67" spans="1:21" ht="16.5" x14ac:dyDescent="0.25">
      <c r="A67" s="55">
        <v>46121</v>
      </c>
      <c r="B67" s="56">
        <v>16229888</v>
      </c>
      <c r="C67" s="79">
        <v>13.109372337014161</v>
      </c>
      <c r="D67" s="58">
        <v>1238037</v>
      </c>
      <c r="E67" s="58">
        <v>-212369</v>
      </c>
      <c r="F67" s="58">
        <v>16182750.353</v>
      </c>
      <c r="G67" s="79" t="e">
        <v>#REF!</v>
      </c>
      <c r="H67" s="58" t="e">
        <v>#REF!</v>
      </c>
      <c r="I67" s="59">
        <v>5551891.5239139982</v>
      </c>
      <c r="J67" s="79">
        <v>3.387033201567561</v>
      </c>
      <c r="K67" s="59">
        <v>19877630</v>
      </c>
      <c r="L67" s="60">
        <v>79523.06</v>
      </c>
      <c r="M67" s="60">
        <v>627.51</v>
      </c>
      <c r="N67" s="61">
        <f t="shared" si="140"/>
        <v>0.31093723370141602</v>
      </c>
      <c r="O67" s="61" t="e">
        <f t="shared" si="141"/>
        <v>#REF!</v>
      </c>
      <c r="P67" s="61" t="e">
        <f t="shared" si="142"/>
        <v>#REF!</v>
      </c>
      <c r="Q67" s="61">
        <f t="shared" si="143"/>
        <v>0.20661372458159333</v>
      </c>
      <c r="R67" s="61">
        <f t="shared" si="144"/>
        <v>0.24330803827940795</v>
      </c>
      <c r="S67" s="83">
        <v>-1.2916049177433497E-2</v>
      </c>
      <c r="T67" s="62">
        <v>1.22475460089435</v>
      </c>
      <c r="U67" s="62">
        <v>0</v>
      </c>
    </row>
    <row r="68" spans="1:21" ht="16.5" x14ac:dyDescent="0.25">
      <c r="A68" s="55">
        <v>46122</v>
      </c>
      <c r="B68" s="56">
        <v>16527928</v>
      </c>
      <c r="C68" s="79">
        <f>B68/D68</f>
        <v>13.350108276246994</v>
      </c>
      <c r="D68" s="58">
        <v>1238037</v>
      </c>
      <c r="E68" s="58">
        <f>B68-B67</f>
        <v>298040</v>
      </c>
      <c r="F68" s="58">
        <v>16182750.353</v>
      </c>
      <c r="G68" s="79" t="e">
        <v>#REF!</v>
      </c>
      <c r="H68" s="58" t="e">
        <v>#REF!</v>
      </c>
      <c r="I68" s="59">
        <v>5551891.5239139982</v>
      </c>
      <c r="J68" s="79">
        <v>3.387033201567561</v>
      </c>
      <c r="K68" s="59">
        <v>23000645</v>
      </c>
      <c r="L68" s="60">
        <v>80793.42</v>
      </c>
      <c r="M68" s="60">
        <v>640.24</v>
      </c>
      <c r="N68" s="61">
        <f t="shared" ref="N68:N70" si="145">C68/C$7-1</f>
        <v>0.33501082762469947</v>
      </c>
      <c r="O68" s="61" t="e">
        <f t="shared" ref="O68:O70" si="146">G68/G$7-1</f>
        <v>#REF!</v>
      </c>
      <c r="P68" s="61" t="e">
        <f t="shared" ref="P68:P70" si="147">J68/J$7-1</f>
        <v>#REF!</v>
      </c>
      <c r="Q68" s="61">
        <f t="shared" ref="Q68:Q70" si="148">L68/L$7-1</f>
        <v>0.22588906196372482</v>
      </c>
      <c r="R68" s="61">
        <f t="shared" ref="R68:R70" si="149">M68/M$7-1</f>
        <v>0.26853044322482233</v>
      </c>
      <c r="S68" s="83">
        <v>0</v>
      </c>
      <c r="T68" s="62">
        <v>1.39191777167718</v>
      </c>
      <c r="U68" s="62">
        <v>0</v>
      </c>
    </row>
    <row r="69" spans="1:21" ht="16.5" x14ac:dyDescent="0.25">
      <c r="A69" s="55">
        <v>46125</v>
      </c>
      <c r="B69" s="56">
        <v>16349000</v>
      </c>
      <c r="C69" s="79">
        <v>13.205582708755877</v>
      </c>
      <c r="D69" s="58">
        <v>1238037</v>
      </c>
      <c r="E69" s="58">
        <v>-178928</v>
      </c>
      <c r="F69" s="58">
        <v>16182750.353</v>
      </c>
      <c r="G69" s="79" t="e">
        <v>#REF!</v>
      </c>
      <c r="H69" s="58" t="e">
        <v>#REF!</v>
      </c>
      <c r="I69" s="59">
        <v>5551891.5239139982</v>
      </c>
      <c r="J69" s="79">
        <v>3.387033201567561</v>
      </c>
      <c r="K69" s="59">
        <v>22709775</v>
      </c>
      <c r="L69" s="60">
        <v>80883.44</v>
      </c>
      <c r="M69" s="60">
        <v>645.25</v>
      </c>
      <c r="N69" s="61">
        <f t="shared" si="145"/>
        <v>0.32055827087558764</v>
      </c>
      <c r="O69" s="61" t="e">
        <f t="shared" si="146"/>
        <v>#REF!</v>
      </c>
      <c r="P69" s="61" t="e">
        <f t="shared" si="147"/>
        <v>#REF!</v>
      </c>
      <c r="Q69" s="61">
        <f t="shared" si="148"/>
        <v>0.22725494712315952</v>
      </c>
      <c r="R69" s="61">
        <f t="shared" si="149"/>
        <v>0.27845693566602603</v>
      </c>
      <c r="S69" s="83">
        <v>-1.0825797401827986E-2</v>
      </c>
      <c r="T69" s="62">
        <v>1.3890620221420271</v>
      </c>
      <c r="U69" s="62">
        <v>0</v>
      </c>
    </row>
    <row r="70" spans="1:21" ht="16.5" x14ac:dyDescent="0.25">
      <c r="A70" s="55">
        <v>46126</v>
      </c>
      <c r="B70" s="56">
        <v>16508085</v>
      </c>
      <c r="C70" s="79">
        <v>13.33408048386276</v>
      </c>
      <c r="D70" s="58">
        <v>1238037</v>
      </c>
      <c r="E70" s="58">
        <v>159085</v>
      </c>
      <c r="F70" s="58">
        <v>16182750.353</v>
      </c>
      <c r="G70" s="79" t="e">
        <v>#REF!</v>
      </c>
      <c r="H70" s="58" t="e">
        <v>#REF!</v>
      </c>
      <c r="I70" s="59">
        <v>5551891.5239139982</v>
      </c>
      <c r="J70" s="79">
        <v>3.387033201567561</v>
      </c>
      <c r="K70" s="59">
        <v>22868860</v>
      </c>
      <c r="L70" s="60">
        <v>82796.95</v>
      </c>
      <c r="M70" s="60">
        <v>652.15</v>
      </c>
      <c r="N70" s="61">
        <f t="shared" si="145"/>
        <v>0.33340804838627602</v>
      </c>
      <c r="O70" s="61" t="e">
        <f t="shared" si="146"/>
        <v>#REF!</v>
      </c>
      <c r="P70" s="61" t="e">
        <f t="shared" si="147"/>
        <v>#REF!</v>
      </c>
      <c r="Q70" s="61">
        <f t="shared" si="148"/>
        <v>0.25628888304217612</v>
      </c>
      <c r="R70" s="61">
        <f t="shared" si="149"/>
        <v>0.2921281528006181</v>
      </c>
      <c r="S70" s="83">
        <v>-1.200573961842033E-3</v>
      </c>
      <c r="T70" s="62">
        <v>1.3853127119226731</v>
      </c>
      <c r="U70" s="62">
        <v>0</v>
      </c>
    </row>
    <row r="71" spans="1:21" ht="16.5" x14ac:dyDescent="0.25">
      <c r="A71" s="55">
        <v>46127</v>
      </c>
      <c r="B71" s="56">
        <v>17234543</v>
      </c>
      <c r="C71" s="79">
        <v>13.920862623653413</v>
      </c>
      <c r="D71" s="58">
        <v>1238037</v>
      </c>
      <c r="E71" s="58">
        <v>726458</v>
      </c>
      <c r="F71" s="58">
        <v>16182750.353</v>
      </c>
      <c r="G71" s="79" t="e">
        <v>#REF!</v>
      </c>
      <c r="H71" s="58" t="e">
        <v>#REF!</v>
      </c>
      <c r="I71" s="59">
        <v>5551891.5239139982</v>
      </c>
      <c r="J71" s="79">
        <v>3.387033201567561</v>
      </c>
      <c r="K71" s="59">
        <v>19428475</v>
      </c>
      <c r="L71" s="60">
        <v>83768.84</v>
      </c>
      <c r="M71" s="60">
        <v>659.22</v>
      </c>
      <c r="N71" s="61">
        <f t="shared" ref="N71:N81" si="150">C71/C$7-1</f>
        <v>0.39208626236534139</v>
      </c>
      <c r="O71" s="61" t="e">
        <f t="shared" ref="O71:O81" si="151">G71/G$7-1</f>
        <v>#REF!</v>
      </c>
      <c r="P71" s="61" t="e">
        <f t="shared" ref="P71:P81" si="152">J71/J$7-1</f>
        <v>#REF!</v>
      </c>
      <c r="Q71" s="61">
        <f t="shared" ref="Q71:Q81" si="153">L71/L$7-1</f>
        <v>0.27103549632370227</v>
      </c>
      <c r="R71" s="61">
        <f t="shared" ref="R71:R81" si="154">M71/M$7-1</f>
        <v>0.30613619702403372</v>
      </c>
      <c r="S71" s="83">
        <v>0</v>
      </c>
      <c r="T71" s="62">
        <v>1.1272985306311865</v>
      </c>
      <c r="U71" s="62">
        <v>0</v>
      </c>
    </row>
    <row r="72" spans="1:21" ht="16.5" x14ac:dyDescent="0.25">
      <c r="A72" s="55">
        <v>46128</v>
      </c>
      <c r="B72" s="56">
        <v>17338395</v>
      </c>
      <c r="C72" s="79">
        <v>14.004747030985342</v>
      </c>
      <c r="D72" s="58">
        <v>1238037</v>
      </c>
      <c r="E72" s="58">
        <v>103852</v>
      </c>
      <c r="F72" s="58">
        <v>16182750.353</v>
      </c>
      <c r="G72" s="79" t="e">
        <v>#REF!</v>
      </c>
      <c r="H72" s="58" t="e">
        <v>#REF!</v>
      </c>
      <c r="I72" s="59">
        <v>5551891.5239139982</v>
      </c>
      <c r="J72" s="79">
        <v>3.387033201567561</v>
      </c>
      <c r="K72" s="59">
        <v>29462760</v>
      </c>
      <c r="L72" s="60">
        <v>84707.06</v>
      </c>
      <c r="M72" s="60">
        <v>670.79</v>
      </c>
      <c r="N72" s="61">
        <f t="shared" si="150"/>
        <v>0.40047470309853428</v>
      </c>
      <c r="O72" s="61" t="e">
        <f t="shared" si="151"/>
        <v>#REF!</v>
      </c>
      <c r="P72" s="61" t="e">
        <f t="shared" si="152"/>
        <v>#REF!</v>
      </c>
      <c r="Q72" s="61">
        <f t="shared" si="153"/>
        <v>0.28527123031931256</v>
      </c>
      <c r="R72" s="61">
        <f t="shared" si="154"/>
        <v>0.32906025242218306</v>
      </c>
      <c r="S72" s="83">
        <v>0</v>
      </c>
      <c r="T72" s="62">
        <v>1.6992783934153075</v>
      </c>
      <c r="U72" s="62">
        <v>0</v>
      </c>
    </row>
    <row r="73" spans="1:21" ht="16.5" x14ac:dyDescent="0.25">
      <c r="A73" s="55">
        <v>46129</v>
      </c>
      <c r="B73" s="56">
        <v>18230252</v>
      </c>
      <c r="C73" s="79">
        <v>14.72512695501023</v>
      </c>
      <c r="D73" s="58">
        <v>1238037</v>
      </c>
      <c r="E73" s="58">
        <v>891857</v>
      </c>
      <c r="F73" s="58">
        <v>16182750.353</v>
      </c>
      <c r="G73" s="79" t="e">
        <v>#REF!</v>
      </c>
      <c r="H73" s="58" t="e">
        <v>#REF!</v>
      </c>
      <c r="I73" s="59">
        <v>5551891.5239139982</v>
      </c>
      <c r="J73" s="79">
        <v>3.387033201567561</v>
      </c>
      <c r="K73" s="59">
        <v>33751036</v>
      </c>
      <c r="L73" s="60">
        <v>83959.54</v>
      </c>
      <c r="M73" s="60">
        <v>682.49</v>
      </c>
      <c r="N73" s="61">
        <f t="shared" si="150"/>
        <v>0.47251269550102304</v>
      </c>
      <c r="O73" s="61" t="e">
        <f t="shared" si="151"/>
        <v>#REF!</v>
      </c>
      <c r="P73" s="61" t="e">
        <f t="shared" si="152"/>
        <v>#REF!</v>
      </c>
      <c r="Q73" s="61">
        <f t="shared" si="153"/>
        <v>0.27392901220799692</v>
      </c>
      <c r="R73" s="61">
        <f t="shared" si="154"/>
        <v>0.3522418814764916</v>
      </c>
      <c r="S73" s="83">
        <v>0</v>
      </c>
      <c r="T73" s="62">
        <v>1.8513751757243948</v>
      </c>
      <c r="U73" s="62">
        <v>0</v>
      </c>
    </row>
    <row r="74" spans="1:21" ht="16.5" x14ac:dyDescent="0.25">
      <c r="A74" s="55">
        <v>46132</v>
      </c>
      <c r="B74" s="56">
        <v>18768601</v>
      </c>
      <c r="C74" s="79">
        <v>15.15996775540634</v>
      </c>
      <c r="D74" s="58">
        <v>1238037</v>
      </c>
      <c r="E74" s="58">
        <v>538349</v>
      </c>
      <c r="F74" s="58">
        <v>16182750.353</v>
      </c>
      <c r="G74" s="79" t="e">
        <v>#REF!</v>
      </c>
      <c r="H74" s="58" t="e">
        <v>#REF!</v>
      </c>
      <c r="I74" s="59">
        <v>5551891.5239139982</v>
      </c>
      <c r="J74" s="79">
        <v>3.387033201567561</v>
      </c>
      <c r="K74" s="59">
        <v>33554046</v>
      </c>
      <c r="L74" s="60">
        <v>84311.91</v>
      </c>
      <c r="M74" s="60">
        <v>702.94</v>
      </c>
      <c r="N74" s="61">
        <f t="shared" si="150"/>
        <v>0.51599677554063406</v>
      </c>
      <c r="O74" s="61" t="e">
        <f t="shared" si="151"/>
        <v>#REF!</v>
      </c>
      <c r="P74" s="61" t="e">
        <f t="shared" si="152"/>
        <v>#REF!</v>
      </c>
      <c r="Q74" s="61">
        <f t="shared" si="153"/>
        <v>0.2792755680137069</v>
      </c>
      <c r="R74" s="61">
        <f t="shared" si="154"/>
        <v>0.39276019892611624</v>
      </c>
      <c r="S74" s="83">
        <v>0</v>
      </c>
      <c r="T74" s="62">
        <v>1.7877755513050759</v>
      </c>
      <c r="U74" s="62">
        <v>0</v>
      </c>
    </row>
    <row r="75" spans="1:21" ht="16.5" x14ac:dyDescent="0.25">
      <c r="A75" s="55">
        <v>46133</v>
      </c>
      <c r="B75" s="56">
        <v>19762419</v>
      </c>
      <c r="C75" s="79">
        <v>15.962704668761919</v>
      </c>
      <c r="D75" s="58">
        <v>1238037</v>
      </c>
      <c r="E75" s="58">
        <v>993818</v>
      </c>
      <c r="F75" s="58">
        <v>16182750.353</v>
      </c>
      <c r="G75" s="79" t="e">
        <v>#REF!</v>
      </c>
      <c r="H75" s="58" t="e">
        <v>#REF!</v>
      </c>
      <c r="I75" s="59">
        <v>5551891.5239139982</v>
      </c>
      <c r="J75" s="79">
        <v>3.387033201567561</v>
      </c>
      <c r="K75" s="59">
        <v>35771530</v>
      </c>
      <c r="L75" s="60">
        <v>85786.3</v>
      </c>
      <c r="M75" s="60">
        <v>715.87409600000001</v>
      </c>
      <c r="N75" s="61">
        <f t="shared" si="150"/>
        <v>0.59627046687619201</v>
      </c>
      <c r="O75" s="61" t="e">
        <f t="shared" si="151"/>
        <v>#REF!</v>
      </c>
      <c r="P75" s="61" t="e">
        <f t="shared" si="152"/>
        <v>#REF!</v>
      </c>
      <c r="Q75" s="61">
        <f t="shared" si="153"/>
        <v>0.30164667910256404</v>
      </c>
      <c r="R75" s="61">
        <f t="shared" si="154"/>
        <v>0.41838698658635654</v>
      </c>
      <c r="S75" s="83">
        <v>0</v>
      </c>
      <c r="T75" s="62">
        <v>1.8100785131617745</v>
      </c>
      <c r="U75" s="62">
        <v>0</v>
      </c>
    </row>
    <row r="76" spans="1:21" ht="16.5" x14ac:dyDescent="0.25">
      <c r="A76" s="55">
        <v>46134</v>
      </c>
      <c r="B76" s="56">
        <v>21555181</v>
      </c>
      <c r="C76" s="79">
        <v>17.410772860584942</v>
      </c>
      <c r="D76" s="58">
        <v>1238037</v>
      </c>
      <c r="E76" s="58">
        <v>1792762</v>
      </c>
      <c r="F76" s="58">
        <v>16182750.353</v>
      </c>
      <c r="G76" s="79" t="e">
        <v>#REF!</v>
      </c>
      <c r="H76" s="58" t="e">
        <v>#REF!</v>
      </c>
      <c r="I76" s="59">
        <v>5551891.5239139982</v>
      </c>
      <c r="J76" s="79">
        <v>3.387033201567561</v>
      </c>
      <c r="K76" s="59">
        <v>37566792</v>
      </c>
      <c r="L76" s="60">
        <v>86409.88</v>
      </c>
      <c r="M76" s="60">
        <v>724.17</v>
      </c>
      <c r="N76" s="61">
        <f t="shared" si="150"/>
        <v>0.74107728605849421</v>
      </c>
      <c r="O76" s="61" t="e">
        <f t="shared" si="151"/>
        <v>#REF!</v>
      </c>
      <c r="P76" s="61" t="e">
        <f t="shared" si="152"/>
        <v>#REF!</v>
      </c>
      <c r="Q76" s="61">
        <f t="shared" si="153"/>
        <v>0.31110833948603767</v>
      </c>
      <c r="R76" s="61">
        <f t="shared" si="154"/>
        <v>0.43482395831269449</v>
      </c>
      <c r="S76" s="83">
        <v>0</v>
      </c>
      <c r="T76" s="62">
        <v>1.7428196033241381</v>
      </c>
      <c r="U76" s="62">
        <v>0</v>
      </c>
    </row>
    <row r="77" spans="1:21" ht="16.5" x14ac:dyDescent="0.25">
      <c r="A77" s="55">
        <v>46135</v>
      </c>
      <c r="B77" s="56">
        <v>21061578</v>
      </c>
      <c r="C77" s="79">
        <v>17.012074760285838</v>
      </c>
      <c r="D77" s="58">
        <v>1238037</v>
      </c>
      <c r="E77" s="58">
        <v>-493603</v>
      </c>
      <c r="F77" s="58">
        <v>16182750.353</v>
      </c>
      <c r="G77" s="79" t="e">
        <v>#REF!</v>
      </c>
      <c r="H77" s="58" t="e">
        <v>#REF!</v>
      </c>
      <c r="I77" s="59">
        <v>5551891.5239139982</v>
      </c>
      <c r="J77" s="79">
        <v>3.387033201567561</v>
      </c>
      <c r="K77" s="59">
        <v>37903374</v>
      </c>
      <c r="L77" s="60">
        <v>86036.19</v>
      </c>
      <c r="M77" s="60">
        <v>698.99</v>
      </c>
      <c r="N77" s="61">
        <f t="shared" si="150"/>
        <v>0.7012074760285838</v>
      </c>
      <c r="O77" s="61" t="e">
        <f t="shared" si="151"/>
        <v>#REF!</v>
      </c>
      <c r="P77" s="61" t="e">
        <f t="shared" si="152"/>
        <v>#REF!</v>
      </c>
      <c r="Q77" s="61">
        <f t="shared" si="153"/>
        <v>0.30543829254947741</v>
      </c>
      <c r="R77" s="61">
        <f t="shared" si="154"/>
        <v>0.38493392245051616</v>
      </c>
      <c r="S77" s="83">
        <v>-2.2899506155851901E-2</v>
      </c>
      <c r="T77" s="62">
        <v>1.799645496647972</v>
      </c>
      <c r="U77" s="62">
        <v>0</v>
      </c>
    </row>
    <row r="78" spans="1:21" ht="16.5" x14ac:dyDescent="0.25">
      <c r="A78" s="55">
        <v>46136</v>
      </c>
      <c r="B78" s="56">
        <v>23218466</v>
      </c>
      <c r="C78" s="79">
        <v>18.754258556085158</v>
      </c>
      <c r="D78" s="58">
        <v>1238037</v>
      </c>
      <c r="E78" s="58">
        <v>2156888</v>
      </c>
      <c r="F78" s="58">
        <v>16182750.353</v>
      </c>
      <c r="G78" s="79" t="e">
        <v>#REF!</v>
      </c>
      <c r="H78" s="58" t="e">
        <v>#REF!</v>
      </c>
      <c r="I78" s="59">
        <v>5551891.5239139982</v>
      </c>
      <c r="J78" s="79">
        <v>3.387033201567561</v>
      </c>
      <c r="K78" s="59">
        <v>43774825</v>
      </c>
      <c r="L78" s="60">
        <v>88815.158937</v>
      </c>
      <c r="M78" s="60">
        <v>694.79606000000001</v>
      </c>
      <c r="N78" s="61">
        <f t="shared" si="150"/>
        <v>0.87542585560851593</v>
      </c>
      <c r="O78" s="61" t="e">
        <f t="shared" si="151"/>
        <v>#REF!</v>
      </c>
      <c r="P78" s="61" t="e">
        <f t="shared" si="152"/>
        <v>#REF!</v>
      </c>
      <c r="Q78" s="61">
        <f t="shared" si="153"/>
        <v>0.34760394939882544</v>
      </c>
      <c r="R78" s="61">
        <f t="shared" si="154"/>
        <v>0.37662431891581316</v>
      </c>
      <c r="S78" s="83">
        <v>0</v>
      </c>
      <c r="T78" s="62">
        <v>1.8853452678570584</v>
      </c>
      <c r="U78" s="62">
        <v>0</v>
      </c>
    </row>
    <row r="79" spans="1:21" ht="16.5" x14ac:dyDescent="0.25">
      <c r="A79" s="55">
        <v>46139</v>
      </c>
      <c r="B79" s="56">
        <v>24068617</v>
      </c>
      <c r="C79" s="79">
        <v>19.440951280131369</v>
      </c>
      <c r="D79" s="58">
        <v>1238037</v>
      </c>
      <c r="E79" s="58">
        <v>850151</v>
      </c>
      <c r="F79" s="58">
        <v>16182750.353</v>
      </c>
      <c r="G79" s="79" t="e">
        <v>#REF!</v>
      </c>
      <c r="H79" s="58" t="e">
        <v>#REF!</v>
      </c>
      <c r="I79" s="59">
        <v>5551891.5239139982</v>
      </c>
      <c r="J79" s="79">
        <v>3.387033201567561</v>
      </c>
      <c r="K79" s="59">
        <v>44471570</v>
      </c>
      <c r="L79" s="60">
        <v>90377.55</v>
      </c>
      <c r="M79" s="60">
        <v>691.16</v>
      </c>
      <c r="N79" s="61">
        <f t="shared" si="150"/>
        <v>0.94409512801313689</v>
      </c>
      <c r="O79" s="61" t="e">
        <f t="shared" si="151"/>
        <v>#REF!</v>
      </c>
      <c r="P79" s="61" t="e">
        <f t="shared" si="152"/>
        <v>#REF!</v>
      </c>
      <c r="Q79" s="61">
        <f t="shared" si="153"/>
        <v>0.37131031205362564</v>
      </c>
      <c r="R79" s="61">
        <f t="shared" si="154"/>
        <v>0.369420063006479</v>
      </c>
      <c r="S79" s="83">
        <v>0</v>
      </c>
      <c r="T79" s="62">
        <v>1.8476994336650088</v>
      </c>
      <c r="U79" s="62">
        <v>0</v>
      </c>
    </row>
    <row r="80" spans="1:21" ht="16.5" x14ac:dyDescent="0.25">
      <c r="A80" s="55">
        <v>46140</v>
      </c>
      <c r="B80" s="56">
        <v>25171799</v>
      </c>
      <c r="C80" s="79">
        <v>20.332024810243958</v>
      </c>
      <c r="D80" s="58">
        <v>1238037</v>
      </c>
      <c r="E80" s="58">
        <v>1103182</v>
      </c>
      <c r="F80" s="58">
        <v>16182750.353</v>
      </c>
      <c r="G80" s="79" t="e">
        <v>#REF!</v>
      </c>
      <c r="H80" s="58" t="e">
        <v>#REF!</v>
      </c>
      <c r="I80" s="59">
        <v>5551891.5239139982</v>
      </c>
      <c r="J80" s="79">
        <v>3.387033201567561</v>
      </c>
      <c r="K80" s="59">
        <v>47624245</v>
      </c>
      <c r="L80" s="60">
        <v>90161.06</v>
      </c>
      <c r="M80" s="60">
        <v>700.35</v>
      </c>
      <c r="N80" s="61">
        <f t="shared" si="150"/>
        <v>1.0332024810243956</v>
      </c>
      <c r="O80" s="61" t="e">
        <f t="shared" si="151"/>
        <v>#REF!</v>
      </c>
      <c r="P80" s="61" t="e">
        <f t="shared" si="152"/>
        <v>#REF!</v>
      </c>
      <c r="Q80" s="61">
        <f t="shared" si="153"/>
        <v>0.36802548114753786</v>
      </c>
      <c r="R80" s="61">
        <f t="shared" si="154"/>
        <v>0.38762853916110251</v>
      </c>
      <c r="S80" s="83">
        <v>0</v>
      </c>
      <c r="T80" s="62">
        <v>1.891968269729152</v>
      </c>
      <c r="U80" s="62">
        <v>0</v>
      </c>
    </row>
    <row r="81" spans="1:21" ht="16.5" x14ac:dyDescent="0.25">
      <c r="A81" s="55">
        <v>46141</v>
      </c>
      <c r="B81" s="56">
        <v>24320254</v>
      </c>
      <c r="C81" s="79">
        <v>19.644206110156642</v>
      </c>
      <c r="D81" s="58">
        <v>1238037</v>
      </c>
      <c r="E81" s="58">
        <v>-851545</v>
      </c>
      <c r="F81" s="58">
        <v>16182750.353</v>
      </c>
      <c r="G81" s="79" t="e">
        <v>#REF!</v>
      </c>
      <c r="H81" s="58" t="e">
        <v>#REF!</v>
      </c>
      <c r="I81" s="59">
        <v>5551891.5239139982</v>
      </c>
      <c r="J81" s="79">
        <v>3.387033201567561</v>
      </c>
      <c r="K81" s="59">
        <v>46884700</v>
      </c>
      <c r="L81" s="60">
        <v>89663.32</v>
      </c>
      <c r="M81" s="60">
        <v>701.61</v>
      </c>
      <c r="N81" s="61">
        <f t="shared" si="150"/>
        <v>0.96442061101566412</v>
      </c>
      <c r="O81" s="61" t="e">
        <f t="shared" si="151"/>
        <v>#REF!</v>
      </c>
      <c r="P81" s="61" t="e">
        <f t="shared" si="152"/>
        <v>#REF!</v>
      </c>
      <c r="Q81" s="61">
        <f t="shared" si="153"/>
        <v>0.36047320743883948</v>
      </c>
      <c r="R81" s="61">
        <f t="shared" si="154"/>
        <v>0.3901250222900281</v>
      </c>
      <c r="S81" s="83">
        <v>-3.3829326223366096E-2</v>
      </c>
      <c r="T81" s="62">
        <v>1.9278047013818194</v>
      </c>
      <c r="U81" s="62">
        <v>0</v>
      </c>
    </row>
    <row r="82" spans="1:21" ht="16.5" x14ac:dyDescent="0.25">
      <c r="A82" s="55">
        <v>46142</v>
      </c>
      <c r="B82" s="56">
        <v>25072273</v>
      </c>
      <c r="C82" s="79">
        <v>20.251634644198841</v>
      </c>
      <c r="D82" s="58">
        <v>1238037</v>
      </c>
      <c r="E82" s="58">
        <v>752019</v>
      </c>
      <c r="F82" s="58">
        <v>16182750.353</v>
      </c>
      <c r="G82" s="79" t="e">
        <v>#REF!</v>
      </c>
      <c r="H82" s="58" t="e">
        <v>#REF!</v>
      </c>
      <c r="I82" s="59">
        <v>5551891.5239139982</v>
      </c>
      <c r="J82" s="79">
        <v>3.387033201567561</v>
      </c>
      <c r="K82" s="59">
        <v>47639455</v>
      </c>
      <c r="L82" s="60">
        <v>88803.55</v>
      </c>
      <c r="M82" s="60">
        <v>704.98</v>
      </c>
      <c r="N82" s="61">
        <f t="shared" ref="N82" si="155">C82/C$7-1</f>
        <v>1.0251634644198839</v>
      </c>
      <c r="O82" s="61" t="e">
        <f t="shared" ref="O82" si="156">G82/G$7-1</f>
        <v>#REF!</v>
      </c>
      <c r="P82" s="61" t="e">
        <f t="shared" ref="P82" si="157">J82/J$7-1</f>
        <v>#REF!</v>
      </c>
      <c r="Q82" s="61">
        <f t="shared" ref="Q82" si="158">L82/L$7-1</f>
        <v>0.34742780548897101</v>
      </c>
      <c r="R82" s="61">
        <f t="shared" ref="R82" si="159">M82/M$7-1</f>
        <v>0.39680212399199544</v>
      </c>
      <c r="S82" s="83">
        <v>-3.9538691692238004E-3</v>
      </c>
      <c r="T82" s="62">
        <v>1.9000852056772037</v>
      </c>
      <c r="U82" s="62">
        <v>0</v>
      </c>
    </row>
    <row r="83" spans="1:21" ht="16.5" x14ac:dyDescent="0.25">
      <c r="A83" s="55">
        <v>46146</v>
      </c>
      <c r="B83" s="56">
        <v>28107948</v>
      </c>
      <c r="C83" s="79">
        <v>22.703641328974822</v>
      </c>
      <c r="D83" s="58">
        <v>1238037</v>
      </c>
      <c r="E83" s="58">
        <v>3035675</v>
      </c>
      <c r="F83" s="58">
        <v>16182750.353</v>
      </c>
      <c r="G83" s="79" t="e">
        <v>#REF!</v>
      </c>
      <c r="H83" s="58" t="e">
        <v>#REF!</v>
      </c>
      <c r="I83" s="59">
        <v>5551891.5239139982</v>
      </c>
      <c r="J83" s="79">
        <v>3.387033201567561</v>
      </c>
      <c r="K83" s="59">
        <v>50664130</v>
      </c>
      <c r="L83" s="60">
        <v>92860.88</v>
      </c>
      <c r="M83" s="60">
        <v>730.02</v>
      </c>
      <c r="N83" s="61">
        <f t="shared" ref="N83:N87" si="160">C83/C$7-1</f>
        <v>1.2703641328974822</v>
      </c>
      <c r="O83" s="61" t="e">
        <f t="shared" ref="O83:O87" si="161">G83/G$7-1</f>
        <v>#REF!</v>
      </c>
      <c r="P83" s="61" t="e">
        <f t="shared" ref="P83:P87" si="162">J83/J$7-1</f>
        <v>#REF!</v>
      </c>
      <c r="Q83" s="61">
        <f t="shared" ref="Q83:Q87" si="163">L83/L$7-1</f>
        <v>0.40899020088920635</v>
      </c>
      <c r="R83" s="61">
        <f t="shared" ref="R83:R87" si="164">M83/M$7-1</f>
        <v>0.44641477283984865</v>
      </c>
      <c r="S83" s="83">
        <v>0</v>
      </c>
      <c r="T83" s="62">
        <v>1.8024841229961006</v>
      </c>
      <c r="U83" s="62">
        <v>0</v>
      </c>
    </row>
    <row r="84" spans="1:21" ht="16.5" x14ac:dyDescent="0.25">
      <c r="A84" s="55">
        <v>46147</v>
      </c>
      <c r="B84" s="56">
        <v>29457369</v>
      </c>
      <c r="C84" s="79">
        <v>23.793609560942041</v>
      </c>
      <c r="D84" s="58">
        <v>1238037</v>
      </c>
      <c r="E84" s="58">
        <v>1349421</v>
      </c>
      <c r="F84" s="58">
        <v>16182750.353</v>
      </c>
      <c r="G84" s="79" t="e">
        <v>#REF!</v>
      </c>
      <c r="H84" s="58" t="e">
        <v>#REF!</v>
      </c>
      <c r="I84" s="59">
        <v>5551891.5239139982</v>
      </c>
      <c r="J84" s="79">
        <v>3.387033201567561</v>
      </c>
      <c r="K84" s="59">
        <v>53573935</v>
      </c>
      <c r="L84" s="60">
        <v>93176.606992000015</v>
      </c>
      <c r="M84" s="60">
        <v>744.32839200000001</v>
      </c>
      <c r="N84" s="61">
        <f t="shared" si="160"/>
        <v>1.3793609560942039</v>
      </c>
      <c r="O84" s="61" t="e">
        <f t="shared" si="161"/>
        <v>#REF!</v>
      </c>
      <c r="P84" s="61" t="e">
        <f t="shared" si="162"/>
        <v>#REF!</v>
      </c>
      <c r="Q84" s="61">
        <f t="shared" si="163"/>
        <v>0.41378076757222981</v>
      </c>
      <c r="R84" s="61">
        <f t="shared" si="164"/>
        <v>0.47476450238750978</v>
      </c>
      <c r="S84" s="83">
        <v>0</v>
      </c>
      <c r="T84" s="62">
        <v>1.8186938215697404</v>
      </c>
      <c r="U84" s="62">
        <v>0</v>
      </c>
    </row>
    <row r="85" spans="1:21" ht="16.5" x14ac:dyDescent="0.25">
      <c r="A85" s="55">
        <v>46148</v>
      </c>
      <c r="B85" s="56">
        <v>28615496</v>
      </c>
      <c r="C85" s="79">
        <v>23.113603228336473</v>
      </c>
      <c r="D85" s="58">
        <v>1238037</v>
      </c>
      <c r="E85" s="58">
        <v>-841873</v>
      </c>
      <c r="F85" s="58">
        <v>16182750.353</v>
      </c>
      <c r="G85" s="79" t="e">
        <v>#REF!</v>
      </c>
      <c r="H85" s="58" t="e">
        <v>#REF!</v>
      </c>
      <c r="I85" s="59">
        <v>5551891.5239139982</v>
      </c>
      <c r="J85" s="79">
        <v>3.387033201567561</v>
      </c>
      <c r="K85" s="59">
        <v>56208682</v>
      </c>
      <c r="L85" s="60">
        <v>93850.32</v>
      </c>
      <c r="M85" s="60">
        <v>752.11</v>
      </c>
      <c r="N85" s="61">
        <f t="shared" si="160"/>
        <v>1.3113603228336475</v>
      </c>
      <c r="O85" s="61" t="e">
        <f t="shared" si="161"/>
        <v>#REF!</v>
      </c>
      <c r="P85" s="61" t="e">
        <f t="shared" si="162"/>
        <v>#REF!</v>
      </c>
      <c r="Q85" s="61">
        <f t="shared" si="163"/>
        <v>0.42400310260161533</v>
      </c>
      <c r="R85" s="61">
        <f t="shared" si="164"/>
        <v>0.49018248102870965</v>
      </c>
      <c r="S85" s="83">
        <v>-2.8579368374684111E-2</v>
      </c>
      <c r="T85" s="62">
        <v>1.9642742519647396</v>
      </c>
      <c r="U85" s="62">
        <v>0</v>
      </c>
    </row>
    <row r="86" spans="1:21" ht="16.5" x14ac:dyDescent="0.25">
      <c r="A86" s="55">
        <v>46149</v>
      </c>
      <c r="B86" s="56">
        <v>28504975</v>
      </c>
      <c r="C86" s="79">
        <v>23.024332067619952</v>
      </c>
      <c r="D86" s="58">
        <v>1238037</v>
      </c>
      <c r="E86" s="58">
        <v>-110521</v>
      </c>
      <c r="F86" s="58">
        <v>16182750.353</v>
      </c>
      <c r="G86" s="79" t="e">
        <v>#REF!</v>
      </c>
      <c r="H86" s="58" t="e">
        <v>#REF!</v>
      </c>
      <c r="I86" s="59">
        <v>5551891.5239139982</v>
      </c>
      <c r="J86" s="79">
        <v>3.387033201567561</v>
      </c>
      <c r="K86" s="59">
        <v>54798030</v>
      </c>
      <c r="L86" s="60">
        <v>95663.79</v>
      </c>
      <c r="M86" s="60">
        <v>763.33</v>
      </c>
      <c r="N86" s="61">
        <f t="shared" si="160"/>
        <v>1.3024332067619953</v>
      </c>
      <c r="O86" s="61" t="e">
        <f t="shared" si="161"/>
        <v>#REF!</v>
      </c>
      <c r="P86" s="61" t="e">
        <f t="shared" si="162"/>
        <v>#REF!</v>
      </c>
      <c r="Q86" s="61">
        <f t="shared" si="163"/>
        <v>0.45151911859894955</v>
      </c>
      <c r="R86" s="61">
        <f t="shared" si="164"/>
        <v>0.51241306889104643</v>
      </c>
      <c r="S86" s="83">
        <v>-3.2331264886555244E-2</v>
      </c>
      <c r="T86" s="62">
        <v>1.9224023174901925</v>
      </c>
      <c r="U86" s="62">
        <v>0</v>
      </c>
    </row>
    <row r="87" spans="1:21" ht="16.5" x14ac:dyDescent="0.25">
      <c r="A87" s="55">
        <v>46150</v>
      </c>
      <c r="B87" s="56">
        <v>26579262</v>
      </c>
      <c r="C87" s="79">
        <v>21.468875324404681</v>
      </c>
      <c r="D87" s="58">
        <v>1238037</v>
      </c>
      <c r="E87" s="58">
        <v>-1925713</v>
      </c>
      <c r="F87" s="58">
        <v>16182750.353</v>
      </c>
      <c r="G87" s="79" t="e">
        <v>#REF!</v>
      </c>
      <c r="H87" s="58" t="e">
        <v>#REF!</v>
      </c>
      <c r="I87" s="59">
        <v>5551891.5239139982</v>
      </c>
      <c r="J87" s="79">
        <v>3.387033201567561</v>
      </c>
      <c r="K87" s="59">
        <v>38704510</v>
      </c>
      <c r="L87" s="60">
        <v>94911.32</v>
      </c>
      <c r="M87" s="60">
        <v>750.56</v>
      </c>
      <c r="N87" s="61">
        <f t="shared" si="160"/>
        <v>1.1468875324404681</v>
      </c>
      <c r="O87" s="61" t="e">
        <f t="shared" si="161"/>
        <v>#REF!</v>
      </c>
      <c r="P87" s="61" t="e">
        <f t="shared" si="162"/>
        <v>#REF!</v>
      </c>
      <c r="Q87" s="61">
        <f t="shared" si="163"/>
        <v>0.44010179349430834</v>
      </c>
      <c r="R87" s="61">
        <f t="shared" si="164"/>
        <v>0.48711141051296769</v>
      </c>
      <c r="S87" s="83">
        <v>-9.7704143231528984E-2</v>
      </c>
      <c r="T87" s="62">
        <v>1.4561920492751077</v>
      </c>
      <c r="U87" s="62">
        <v>0</v>
      </c>
    </row>
    <row r="88" spans="1:21" ht="16.5" x14ac:dyDescent="0.25">
      <c r="A88" s="55">
        <v>46153</v>
      </c>
      <c r="B88" s="56">
        <v>26105012</v>
      </c>
      <c r="C88" s="79">
        <v>21.085809228641793</v>
      </c>
      <c r="D88" s="58">
        <v>1238037</v>
      </c>
      <c r="E88" s="58">
        <v>-474250</v>
      </c>
      <c r="F88" s="58">
        <v>16182750.353</v>
      </c>
      <c r="G88" s="79" t="e">
        <v>#REF!</v>
      </c>
      <c r="H88" s="58" t="e">
        <v>#REF!</v>
      </c>
      <c r="I88" s="59">
        <v>5551891.5239139982</v>
      </c>
      <c r="J88" s="79">
        <v>3.387033201567561</v>
      </c>
      <c r="K88" s="59">
        <v>36334140</v>
      </c>
      <c r="L88" s="60">
        <v>95335.91</v>
      </c>
      <c r="M88" s="60">
        <v>773.59</v>
      </c>
      <c r="N88" s="61">
        <f t="shared" ref="N88" si="165">C88/C$7-1</f>
        <v>1.1085809228641792</v>
      </c>
      <c r="O88" s="61" t="e">
        <f t="shared" ref="O88" si="166">G88/G$7-1</f>
        <v>#REF!</v>
      </c>
      <c r="P88" s="61" t="e">
        <f t="shared" ref="P88" si="167">J88/J$7-1</f>
        <v>#REF!</v>
      </c>
      <c r="Q88" s="61">
        <f t="shared" ref="Q88" si="168">L88/L$7-1</f>
        <v>0.44654415274607873</v>
      </c>
      <c r="R88" s="61">
        <f t="shared" ref="R88:R94" si="169">M88/M$7-1</f>
        <v>0.53274157436943992</v>
      </c>
      <c r="S88" s="83">
        <v>-0.11380368015894438</v>
      </c>
      <c r="T88" s="62">
        <v>1.3918453667058264</v>
      </c>
      <c r="U88" s="62">
        <v>0</v>
      </c>
    </row>
    <row r="89" spans="1:21" ht="16.5" x14ac:dyDescent="0.25">
      <c r="A89" s="55">
        <v>46154</v>
      </c>
      <c r="B89" s="56">
        <v>26072647</v>
      </c>
      <c r="C89" s="79">
        <v>21.059667037414876</v>
      </c>
      <c r="D89" s="58">
        <v>1238037</v>
      </c>
      <c r="E89" s="58">
        <v>-32365</v>
      </c>
      <c r="F89" s="58">
        <v>16182750.353</v>
      </c>
      <c r="G89" s="79" t="e">
        <v>#REF!</v>
      </c>
      <c r="H89" s="58" t="e">
        <v>#REF!</v>
      </c>
      <c r="I89" s="59">
        <v>5551891.5239139982</v>
      </c>
      <c r="J89" s="79">
        <v>3.387033201567561</v>
      </c>
      <c r="K89" s="59">
        <v>38039010</v>
      </c>
      <c r="L89" s="60">
        <v>95582.88</v>
      </c>
      <c r="M89" s="60">
        <v>780.37</v>
      </c>
      <c r="N89" s="61">
        <f t="shared" ref="N89:N94" si="170">C89/C$7-1</f>
        <v>1.1059667037414878</v>
      </c>
      <c r="O89" s="61" t="e">
        <f t="shared" ref="O89:O94" si="171">G89/G$7-1</f>
        <v>#REF!</v>
      </c>
      <c r="P89" s="61" t="e">
        <f t="shared" ref="P89:P94" si="172">J89/J$7-1</f>
        <v>#REF!</v>
      </c>
      <c r="Q89" s="61">
        <f t="shared" ref="Q89:Q94" si="173">L89/L$7-1</f>
        <v>0.45029146065349468</v>
      </c>
      <c r="R89" s="61">
        <f t="shared" si="169"/>
        <v>0.54617503120603916</v>
      </c>
      <c r="S89" s="83">
        <v>-0.11490238656412255</v>
      </c>
      <c r="T89" s="62">
        <v>1.4589623370423417</v>
      </c>
      <c r="U89" s="62">
        <v>0</v>
      </c>
    </row>
    <row r="90" spans="1:21" ht="16.5" x14ac:dyDescent="0.25">
      <c r="A90" s="55">
        <v>46155</v>
      </c>
      <c r="B90" s="56">
        <v>24831506</v>
      </c>
      <c r="C90" s="79">
        <v>20.057159842557208</v>
      </c>
      <c r="D90" s="58">
        <v>1238037</v>
      </c>
      <c r="E90" s="58">
        <v>-1241141</v>
      </c>
      <c r="F90" s="58">
        <v>16182750.353</v>
      </c>
      <c r="G90" s="79" t="e">
        <v>#REF!</v>
      </c>
      <c r="H90" s="58" t="e">
        <v>#REF!</v>
      </c>
      <c r="I90" s="59">
        <v>5551891.5239139982</v>
      </c>
      <c r="J90" s="79">
        <v>3.387033201567561</v>
      </c>
      <c r="K90" s="59">
        <v>37044140</v>
      </c>
      <c r="L90" s="60">
        <v>94387.91</v>
      </c>
      <c r="M90" s="60">
        <v>770.9</v>
      </c>
      <c r="N90" s="61">
        <f t="shared" si="170"/>
        <v>1.0057159842557208</v>
      </c>
      <c r="O90" s="61" t="e">
        <f t="shared" si="171"/>
        <v>#REF!</v>
      </c>
      <c r="P90" s="61" t="e">
        <f t="shared" si="172"/>
        <v>#REF!</v>
      </c>
      <c r="Q90" s="61">
        <f t="shared" si="173"/>
        <v>0.43216002553941246</v>
      </c>
      <c r="R90" s="61">
        <f t="shared" si="169"/>
        <v>0.52741178102276565</v>
      </c>
      <c r="S90" s="83">
        <v>-0.15703585068985637</v>
      </c>
      <c r="T90" s="62">
        <v>1.4918201095012118</v>
      </c>
      <c r="U90" s="62">
        <v>0</v>
      </c>
    </row>
    <row r="91" spans="1:21" ht="16.5" x14ac:dyDescent="0.25">
      <c r="A91" s="55">
        <v>46156</v>
      </c>
      <c r="B91" s="56">
        <v>24904659</v>
      </c>
      <c r="C91" s="79">
        <v>20.116247737345493</v>
      </c>
      <c r="D91" s="58">
        <v>1238037</v>
      </c>
      <c r="E91" s="58">
        <v>73153</v>
      </c>
      <c r="F91" s="58">
        <v>16182750.353</v>
      </c>
      <c r="G91" s="79" t="e">
        <v>#REF!</v>
      </c>
      <c r="H91" s="58" t="e">
        <v>#REF!</v>
      </c>
      <c r="I91" s="59">
        <v>5551891.5239139982</v>
      </c>
      <c r="J91" s="79">
        <v>3.387033201567561</v>
      </c>
      <c r="K91" s="59">
        <v>34756715</v>
      </c>
      <c r="L91" s="60">
        <v>95248.52</v>
      </c>
      <c r="M91" s="60">
        <v>781.96</v>
      </c>
      <c r="N91" s="61">
        <f t="shared" si="170"/>
        <v>1.0116247737345492</v>
      </c>
      <c r="O91" s="61" t="e">
        <f t="shared" si="171"/>
        <v>#REF!</v>
      </c>
      <c r="P91" s="61" t="e">
        <f t="shared" si="172"/>
        <v>#REF!</v>
      </c>
      <c r="Q91" s="61">
        <f t="shared" si="173"/>
        <v>0.44521817291845145</v>
      </c>
      <c r="R91" s="61">
        <f t="shared" si="169"/>
        <v>0.54932535515444525</v>
      </c>
      <c r="S91" s="83">
        <v>-0.15455249924051262</v>
      </c>
      <c r="T91" s="62">
        <v>1.395590881208211</v>
      </c>
      <c r="U91" s="62">
        <v>0</v>
      </c>
    </row>
    <row r="92" spans="1:21" ht="16.5" x14ac:dyDescent="0.25">
      <c r="A92" s="55">
        <v>46157</v>
      </c>
      <c r="B92" s="56">
        <v>23035737</v>
      </c>
      <c r="C92" s="79">
        <v>18.606662805715821</v>
      </c>
      <c r="D92" s="58">
        <v>1238037</v>
      </c>
      <c r="E92" s="58">
        <v>-1868922</v>
      </c>
      <c r="F92" s="58">
        <v>16182750.353</v>
      </c>
      <c r="G92" s="79" t="e">
        <v>#REF!</v>
      </c>
      <c r="H92" s="58" t="e">
        <v>#REF!</v>
      </c>
      <c r="I92" s="59">
        <v>5551891.5239139982</v>
      </c>
      <c r="J92" s="79">
        <v>3.387033201567561</v>
      </c>
      <c r="K92" s="59">
        <v>27701455</v>
      </c>
      <c r="L92" s="60">
        <v>93926.76</v>
      </c>
      <c r="M92" s="60">
        <v>753.73</v>
      </c>
      <c r="N92" s="61">
        <f t="shared" si="170"/>
        <v>0.86066628057158212</v>
      </c>
      <c r="O92" s="61" t="e">
        <f t="shared" si="171"/>
        <v>#REF!</v>
      </c>
      <c r="P92" s="61" t="e">
        <f t="shared" si="172"/>
        <v>#REF!</v>
      </c>
      <c r="Q92" s="61">
        <f t="shared" si="173"/>
        <v>0.42516293665612737</v>
      </c>
      <c r="R92" s="61">
        <f t="shared" si="169"/>
        <v>0.49339224505161394</v>
      </c>
      <c r="S92" s="83">
        <v>-0.21799747289039983</v>
      </c>
      <c r="T92" s="62">
        <v>1.2025425971828034</v>
      </c>
      <c r="U92" s="62">
        <v>0</v>
      </c>
    </row>
    <row r="93" spans="1:21" ht="16.5" x14ac:dyDescent="0.25">
      <c r="A93" s="55">
        <v>46158</v>
      </c>
      <c r="B93" s="56">
        <v>23733325</v>
      </c>
      <c r="C93" s="79">
        <v>19.170125771685338</v>
      </c>
      <c r="D93" s="58">
        <v>1238037</v>
      </c>
      <c r="E93" s="58">
        <v>697588</v>
      </c>
      <c r="F93" s="58">
        <v>16182750.353</v>
      </c>
      <c r="G93" s="79" t="e">
        <v>#REF!</v>
      </c>
      <c r="H93" s="58" t="e">
        <v>#REF!</v>
      </c>
      <c r="I93" s="59">
        <v>5551891.5239139982</v>
      </c>
      <c r="J93" s="79">
        <v>3.387033201567561</v>
      </c>
      <c r="K93" s="59">
        <v>31383760</v>
      </c>
      <c r="L93" s="60">
        <v>93286.77</v>
      </c>
      <c r="M93" s="60">
        <v>750.9</v>
      </c>
      <c r="N93" s="61">
        <f t="shared" si="170"/>
        <v>0.91701257716853379</v>
      </c>
      <c r="O93" s="61" t="e">
        <f t="shared" si="171"/>
        <v>#REF!</v>
      </c>
      <c r="P93" s="61" t="e">
        <f t="shared" si="172"/>
        <v>#REF!</v>
      </c>
      <c r="Q93" s="61">
        <f t="shared" si="173"/>
        <v>0.41545228520993094</v>
      </c>
      <c r="R93" s="61">
        <f t="shared" si="169"/>
        <v>0.48778506469061433</v>
      </c>
      <c r="S93" s="83">
        <v>-0.19431619979367476</v>
      </c>
      <c r="T93" s="62">
        <v>1.3223499025104994</v>
      </c>
      <c r="U93" s="62">
        <v>0</v>
      </c>
    </row>
    <row r="94" spans="1:21" ht="16.5" x14ac:dyDescent="0.25">
      <c r="A94" s="55">
        <v>46161</v>
      </c>
      <c r="B94" s="56">
        <v>22683429</v>
      </c>
      <c r="C94" s="79">
        <v>18.322092958449545</v>
      </c>
      <c r="D94" s="58">
        <v>1238037</v>
      </c>
      <c r="E94" s="58">
        <v>-1049896</v>
      </c>
      <c r="F94" s="58">
        <v>16182750.353</v>
      </c>
      <c r="G94" s="79" t="e">
        <v>#REF!</v>
      </c>
      <c r="H94" s="58" t="e">
        <v>#REF!</v>
      </c>
      <c r="I94" s="59">
        <v>5551891.5239139982</v>
      </c>
      <c r="J94" s="79">
        <v>3.387033201567561</v>
      </c>
      <c r="K94" s="59">
        <v>25888200</v>
      </c>
      <c r="L94" s="60">
        <v>91652.74</v>
      </c>
      <c r="M94" s="60">
        <v>729.92</v>
      </c>
      <c r="N94" s="61">
        <f t="shared" si="170"/>
        <v>0.83220929584495451</v>
      </c>
      <c r="O94" s="61" t="e">
        <f t="shared" si="171"/>
        <v>#REF!</v>
      </c>
      <c r="P94" s="61" t="e">
        <f t="shared" si="172"/>
        <v>#REF!</v>
      </c>
      <c r="Q94" s="61">
        <f t="shared" si="173"/>
        <v>0.39065893565348708</v>
      </c>
      <c r="R94" s="61">
        <f t="shared" si="169"/>
        <v>0.44621663925818789</v>
      </c>
      <c r="S94" s="83">
        <v>-0.229957400472527</v>
      </c>
      <c r="T94" s="62">
        <v>1.1412824754141007</v>
      </c>
      <c r="U94" s="62">
        <v>0</v>
      </c>
    </row>
    <row r="95" spans="1:21" ht="16.5" x14ac:dyDescent="0.25">
      <c r="A95" s="55">
        <v>46162</v>
      </c>
      <c r="B95" s="56">
        <v>22286475</v>
      </c>
      <c r="C95" s="79">
        <v>18.001461184116469</v>
      </c>
      <c r="D95" s="58">
        <v>1238037</v>
      </c>
      <c r="E95" s="58">
        <v>-396954</v>
      </c>
      <c r="F95" s="58">
        <v>16182750.353</v>
      </c>
      <c r="G95" s="79" t="e">
        <v>#REF!</v>
      </c>
      <c r="H95" s="58" t="e">
        <v>#REF!</v>
      </c>
      <c r="I95" s="59">
        <v>5551891.5239139982</v>
      </c>
      <c r="J95" s="79">
        <v>3.387033201567561</v>
      </c>
      <c r="K95" s="59">
        <v>19095500</v>
      </c>
      <c r="L95" s="60">
        <v>91299.74</v>
      </c>
      <c r="M95" s="60">
        <v>726.68</v>
      </c>
      <c r="N95" s="61">
        <f t="shared" ref="N95:N96" si="174">C95/C$7-1</f>
        <v>0.80014611841164696</v>
      </c>
      <c r="O95" s="61" t="e">
        <f t="shared" ref="O95:O96" si="175">G95/G$7-1</f>
        <v>#REF!</v>
      </c>
      <c r="P95" s="61" t="e">
        <f t="shared" ref="P95:P96" si="176">J95/J$7-1</f>
        <v>#REF!</v>
      </c>
      <c r="Q95" s="61">
        <f t="shared" ref="Q95:Q96" si="177">L95/L$7-1</f>
        <v>0.3853028207758995</v>
      </c>
      <c r="R95" s="61">
        <f t="shared" ref="R95:R96" si="178">M95/M$7-1</f>
        <v>0.4397971112123793</v>
      </c>
      <c r="S95" s="83">
        <v>-0.24343294202547416</v>
      </c>
      <c r="T95" s="62">
        <v>0.85682011174939066</v>
      </c>
      <c r="U95" s="62">
        <v>0</v>
      </c>
    </row>
    <row r="96" spans="1:21" ht="16.5" x14ac:dyDescent="0.25">
      <c r="A96" s="55">
        <v>46163</v>
      </c>
      <c r="B96" s="56">
        <v>23309307</v>
      </c>
      <c r="C96" s="79">
        <v>18.827633584456684</v>
      </c>
      <c r="D96" s="58">
        <v>1238037</v>
      </c>
      <c r="E96" s="58">
        <v>1022832</v>
      </c>
      <c r="F96" s="58">
        <v>16182750.353</v>
      </c>
      <c r="G96" s="79" t="e">
        <v>#REF!</v>
      </c>
      <c r="H96" s="58" t="e">
        <v>#REF!</v>
      </c>
      <c r="I96" s="59">
        <v>5551891.5239139982</v>
      </c>
      <c r="J96" s="79">
        <v>3.387033201567561</v>
      </c>
      <c r="K96" s="59">
        <v>29800700</v>
      </c>
      <c r="L96" s="60">
        <v>94373.55</v>
      </c>
      <c r="M96" s="60">
        <v>751.22</v>
      </c>
      <c r="N96" s="61">
        <f t="shared" si="174"/>
        <v>0.88276335844566844</v>
      </c>
      <c r="O96" s="61" t="e">
        <f t="shared" si="175"/>
        <v>#REF!</v>
      </c>
      <c r="P96" s="61" t="e">
        <f t="shared" si="176"/>
        <v>#REF!</v>
      </c>
      <c r="Q96" s="61">
        <f t="shared" si="177"/>
        <v>0.43194213939311732</v>
      </c>
      <c r="R96" s="61">
        <f t="shared" si="178"/>
        <v>0.48841909215192891</v>
      </c>
      <c r="S96" s="83">
        <v>-0.20871049278026155</v>
      </c>
      <c r="T96" s="62">
        <v>1.2784893175931829</v>
      </c>
      <c r="U96" s="62">
        <v>0</v>
      </c>
    </row>
    <row r="97" spans="1:21" ht="16.5" x14ac:dyDescent="0.25">
      <c r="A97" s="55">
        <v>46164</v>
      </c>
      <c r="B97" s="56">
        <v>24683221</v>
      </c>
      <c r="C97" s="79">
        <v>19.937385554712822</v>
      </c>
      <c r="D97" s="58">
        <v>1238037</v>
      </c>
      <c r="E97" s="58">
        <v>1373914</v>
      </c>
      <c r="F97" s="58">
        <v>16182750.353</v>
      </c>
      <c r="G97" s="79" t="e">
        <v>#REF!</v>
      </c>
      <c r="H97" s="58" t="e">
        <v>#REF!</v>
      </c>
      <c r="I97" s="59">
        <v>5551891.5239139982</v>
      </c>
      <c r="J97" s="79">
        <v>3.387033201567561</v>
      </c>
      <c r="K97" s="59">
        <v>37239580</v>
      </c>
      <c r="L97" s="60">
        <v>96426.34</v>
      </c>
      <c r="M97" s="60">
        <v>775.89</v>
      </c>
      <c r="N97" s="61">
        <f t="shared" ref="N97:N98" si="179">C97/C$7-1</f>
        <v>0.99373855547128231</v>
      </c>
      <c r="O97" s="61" t="e">
        <f t="shared" ref="O97:O98" si="180">G97/G$7-1</f>
        <v>#REF!</v>
      </c>
      <c r="P97" s="61" t="e">
        <f t="shared" ref="P97:P98" si="181">J97/J$7-1</f>
        <v>#REF!</v>
      </c>
      <c r="Q97" s="61">
        <f t="shared" ref="Q97:Q98" si="182">L97/L$7-1</f>
        <v>0.46308938885363671</v>
      </c>
      <c r="R97" s="61">
        <f t="shared" ref="R97:R98" si="183">M97/M$7-1</f>
        <v>0.53729864674763728</v>
      </c>
      <c r="S97" s="83">
        <v>-0.16206973542002356</v>
      </c>
      <c r="T97" s="62">
        <v>1.5087001813904271</v>
      </c>
      <c r="U97" s="62">
        <v>0</v>
      </c>
    </row>
    <row r="98" spans="1:21" ht="16.5" x14ac:dyDescent="0.25">
      <c r="A98" s="55">
        <v>46167</v>
      </c>
      <c r="B98" s="56">
        <v>26260459</v>
      </c>
      <c r="C98" s="79">
        <v>21.211368480909698</v>
      </c>
      <c r="D98" s="58">
        <v>1238037</v>
      </c>
      <c r="E98" s="58">
        <v>1577238</v>
      </c>
      <c r="F98" s="58">
        <v>16182750.353</v>
      </c>
      <c r="G98" s="79" t="e">
        <v>#REF!</v>
      </c>
      <c r="H98" s="58" t="e">
        <v>#REF!</v>
      </c>
      <c r="I98" s="59">
        <v>5551891.5239139982</v>
      </c>
      <c r="J98" s="79">
        <v>3.387033201567561</v>
      </c>
      <c r="K98" s="59">
        <v>47915780</v>
      </c>
      <c r="L98" s="60">
        <v>99566.5</v>
      </c>
      <c r="M98" s="60">
        <v>797.4</v>
      </c>
      <c r="N98" s="61">
        <f t="shared" si="179"/>
        <v>1.1211368480909698</v>
      </c>
      <c r="O98" s="61" t="e">
        <f t="shared" si="180"/>
        <v>#REF!</v>
      </c>
      <c r="P98" s="61" t="e">
        <f t="shared" si="181"/>
        <v>#REF!</v>
      </c>
      <c r="Q98" s="61">
        <f t="shared" si="182"/>
        <v>0.51073544464402176</v>
      </c>
      <c r="R98" s="61">
        <f t="shared" si="183"/>
        <v>0.57991718016286575</v>
      </c>
      <c r="S98" s="83">
        <v>-0.10852666441459868</v>
      </c>
      <c r="T98" s="62">
        <v>1.8246360431095283</v>
      </c>
      <c r="U98" s="62">
        <v>0</v>
      </c>
    </row>
    <row r="99" spans="1:21" ht="16.5" x14ac:dyDescent="0.25">
      <c r="A99" s="55">
        <v>46168</v>
      </c>
      <c r="B99" s="56">
        <v>25073038</v>
      </c>
      <c r="C99" s="79">
        <v>20.252252557879935</v>
      </c>
      <c r="D99" s="58">
        <v>1238037</v>
      </c>
      <c r="E99" s="58">
        <v>-1187421</v>
      </c>
      <c r="F99" s="58">
        <v>16182750.353</v>
      </c>
      <c r="G99" s="79" t="e">
        <v>#REF!</v>
      </c>
      <c r="H99" s="58" t="e">
        <v>#REF!</v>
      </c>
      <c r="I99" s="59">
        <v>5551891.5239139982</v>
      </c>
      <c r="J99" s="79">
        <v>3.387033201567561</v>
      </c>
      <c r="K99" s="59">
        <v>48412645</v>
      </c>
      <c r="L99" s="60">
        <v>99294.98</v>
      </c>
      <c r="M99" s="60">
        <v>805.3</v>
      </c>
      <c r="N99" s="61">
        <f t="shared" ref="N99:N100" si="184">C99/C$7-1</f>
        <v>1.0252252557879933</v>
      </c>
      <c r="O99" s="61" t="e">
        <f t="shared" ref="O99:O100" si="185">G99/G$7-1</f>
        <v>#REF!</v>
      </c>
      <c r="P99" s="61" t="e">
        <f t="shared" ref="P99:P100" si="186">J99/J$7-1</f>
        <v>#REF!</v>
      </c>
      <c r="Q99" s="61">
        <f t="shared" ref="Q99:Q100" si="187">L99/L$7-1</f>
        <v>0.50661563639596885</v>
      </c>
      <c r="R99" s="61">
        <f t="shared" ref="R99:R100" si="188">M99/M$7-1</f>
        <v>0.59556973311406547</v>
      </c>
      <c r="S99" s="83">
        <v>-0.14883647619717844</v>
      </c>
      <c r="T99" s="62">
        <v>1.9308647400446648</v>
      </c>
      <c r="U99" s="62">
        <v>0</v>
      </c>
    </row>
    <row r="100" spans="1:21" ht="16.5" x14ac:dyDescent="0.25">
      <c r="A100" s="55">
        <v>46169</v>
      </c>
      <c r="B100" s="56">
        <v>25400111</v>
      </c>
      <c r="C100" s="79">
        <v>20.516439330973146</v>
      </c>
      <c r="D100" s="58">
        <v>1238037</v>
      </c>
      <c r="E100" s="58">
        <v>327073</v>
      </c>
      <c r="F100" s="58">
        <v>16182750.353</v>
      </c>
      <c r="G100" s="79" t="e">
        <v>#REF!</v>
      </c>
      <c r="H100" s="58" t="e">
        <v>#REF!</v>
      </c>
      <c r="I100" s="59">
        <v>5551891.5239139982</v>
      </c>
      <c r="J100" s="79">
        <v>3.387033201567561</v>
      </c>
      <c r="K100" s="59">
        <v>49381130</v>
      </c>
      <c r="L100" s="60">
        <v>100966</v>
      </c>
      <c r="M100" s="60">
        <v>807</v>
      </c>
      <c r="N100" s="61">
        <f t="shared" si="184"/>
        <v>1.0516439330973144</v>
      </c>
      <c r="O100" s="61" t="e">
        <f t="shared" si="185"/>
        <v>#REF!</v>
      </c>
      <c r="P100" s="61" t="e">
        <f t="shared" si="186"/>
        <v>#REF!</v>
      </c>
      <c r="Q100" s="61">
        <f t="shared" si="187"/>
        <v>0.5319702400298123</v>
      </c>
      <c r="R100" s="61">
        <f t="shared" si="188"/>
        <v>0.59893800400229846</v>
      </c>
      <c r="S100" s="83">
        <v>-0.13773321032166863</v>
      </c>
      <c r="T100" s="62">
        <v>1.9441304803746724</v>
      </c>
      <c r="U100" s="62">
        <v>0</v>
      </c>
    </row>
    <row r="101" spans="1:21" ht="16.5" x14ac:dyDescent="0.25">
      <c r="A101" s="55">
        <v>46170</v>
      </c>
      <c r="B101" s="56">
        <v>24920738</v>
      </c>
      <c r="C101" s="79">
        <v>20.129235232872684</v>
      </c>
      <c r="D101" s="58">
        <v>1238037</v>
      </c>
      <c r="E101" s="58">
        <v>-479373</v>
      </c>
      <c r="F101" s="58">
        <v>16182750.353</v>
      </c>
      <c r="G101" s="79" t="e">
        <v>#REF!</v>
      </c>
      <c r="H101" s="58" t="e">
        <v>#REF!</v>
      </c>
      <c r="I101" s="59">
        <v>5551891.5239139982</v>
      </c>
      <c r="J101" s="79">
        <v>3.387033201567561</v>
      </c>
      <c r="K101" s="59">
        <v>44536500</v>
      </c>
      <c r="L101" s="60">
        <v>99047.645999999993</v>
      </c>
      <c r="M101" s="60">
        <v>792.79680000000008</v>
      </c>
      <c r="N101" s="61">
        <f t="shared" ref="N101" si="189">C101/C$7-1</f>
        <v>1.0129235232872684</v>
      </c>
      <c r="O101" s="61" t="e">
        <f t="shared" ref="O101" si="190">G101/G$7-1</f>
        <v>#REF!</v>
      </c>
      <c r="P101" s="61" t="e">
        <f t="shared" ref="P101" si="191">J101/J$7-1</f>
        <v>#REF!</v>
      </c>
      <c r="Q101" s="61">
        <f t="shared" ref="Q101" si="192">L101/L$7-1</f>
        <v>0.50286280546924567</v>
      </c>
      <c r="R101" s="61">
        <f t="shared" ref="R101" si="193">M101/M$7-1</f>
        <v>0.57079669513185816</v>
      </c>
      <c r="S101" s="83">
        <v>-0.15400665958999948</v>
      </c>
      <c r="T101" s="62">
        <v>1.7871260473907313</v>
      </c>
      <c r="U101" s="62">
        <v>0</v>
      </c>
    </row>
    <row r="102" spans="1:21" ht="16.5" x14ac:dyDescent="0.25">
      <c r="A102" s="55">
        <v>46171</v>
      </c>
      <c r="B102" s="56">
        <v>26886692</v>
      </c>
      <c r="C102" s="79">
        <v>21.717195851174075</v>
      </c>
      <c r="D102" s="58">
        <v>1238037</v>
      </c>
      <c r="E102" s="58">
        <v>1965954</v>
      </c>
      <c r="F102" s="58">
        <v>16182750.353</v>
      </c>
      <c r="G102" s="79" t="e">
        <v>#REF!</v>
      </c>
      <c r="H102" s="58" t="e">
        <v>#REF!</v>
      </c>
      <c r="I102" s="59">
        <v>5551891.5239139982</v>
      </c>
      <c r="J102" s="79">
        <v>3.387033201567561</v>
      </c>
      <c r="K102" s="59">
        <v>47580900</v>
      </c>
      <c r="L102" s="60">
        <v>102052.99</v>
      </c>
      <c r="M102" s="60">
        <v>813.36</v>
      </c>
      <c r="N102" s="61">
        <f t="shared" ref="N102:N103" si="194">C102/C$7-1</f>
        <v>1.1717195851174074</v>
      </c>
      <c r="O102" s="61" t="e">
        <f t="shared" ref="O102:O103" si="195">G102/G$7-1</f>
        <v>#REF!</v>
      </c>
      <c r="P102" s="61" t="e">
        <f t="shared" ref="P102:P103" si="196">J102/J$7-1</f>
        <v>#REF!</v>
      </c>
      <c r="Q102" s="61">
        <f t="shared" ref="Q102:Q103" si="197">L102/L$7-1</f>
        <v>0.54846328057029137</v>
      </c>
      <c r="R102" s="61">
        <f t="shared" ref="R102:R103" si="198">M102/M$7-1</f>
        <v>0.61153929979592259</v>
      </c>
      <c r="S102" s="83">
        <v>-8.7267705408449858E-2</v>
      </c>
      <c r="T102" s="62">
        <v>1.7696821907284095</v>
      </c>
      <c r="U102" s="62">
        <v>0</v>
      </c>
    </row>
    <row r="103" spans="1:21" ht="16.5" x14ac:dyDescent="0.25">
      <c r="A103" s="55">
        <v>46174</v>
      </c>
      <c r="B103" s="56">
        <v>28026640</v>
      </c>
      <c r="C103" s="79">
        <v>22.637966393573052</v>
      </c>
      <c r="D103" s="58">
        <v>1238037</v>
      </c>
      <c r="E103" s="58">
        <v>1139948</v>
      </c>
      <c r="F103" s="58">
        <v>16182750.353</v>
      </c>
      <c r="G103" s="79" t="e">
        <v>#REF!</v>
      </c>
      <c r="H103" s="58" t="e">
        <v>#REF!</v>
      </c>
      <c r="I103" s="59">
        <v>5551891.5239139982</v>
      </c>
      <c r="J103" s="79">
        <v>3.387033201567561</v>
      </c>
      <c r="K103" s="59">
        <v>57645960</v>
      </c>
      <c r="L103" s="60">
        <v>103434.65</v>
      </c>
      <c r="M103" s="60">
        <v>817.77</v>
      </c>
      <c r="N103" s="61">
        <f t="shared" si="194"/>
        <v>1.263796639357305</v>
      </c>
      <c r="O103" s="61" t="e">
        <f t="shared" si="195"/>
        <v>#REF!</v>
      </c>
      <c r="P103" s="61" t="e">
        <f t="shared" si="196"/>
        <v>#REF!</v>
      </c>
      <c r="Q103" s="61">
        <f t="shared" si="197"/>
        <v>0.56942738731750908</v>
      </c>
      <c r="R103" s="61">
        <f t="shared" si="198"/>
        <v>0.62027699074716169</v>
      </c>
      <c r="S103" s="83">
        <v>-4.8569476792038047E-2</v>
      </c>
      <c r="T103" s="62">
        <v>2.0568273613961572</v>
      </c>
      <c r="U103" s="62">
        <v>0</v>
      </c>
    </row>
    <row r="104" spans="1:21" ht="16.5" x14ac:dyDescent="0.25">
      <c r="A104" s="55">
        <v>46175</v>
      </c>
      <c r="B104" s="56">
        <v>28991681</v>
      </c>
      <c r="C104" s="79">
        <v>23.417459252025587</v>
      </c>
      <c r="D104" s="58">
        <v>1238037</v>
      </c>
      <c r="E104" s="58">
        <v>965041</v>
      </c>
      <c r="F104" s="58">
        <v>16182750.353</v>
      </c>
      <c r="G104" s="79" t="e">
        <v>#REF!</v>
      </c>
      <c r="H104" s="58" t="e">
        <v>#REF!</v>
      </c>
      <c r="I104" s="59">
        <v>5551891.5239139982</v>
      </c>
      <c r="J104" s="79">
        <v>3.387033201567561</v>
      </c>
      <c r="K104" s="59">
        <v>60709670</v>
      </c>
      <c r="L104" s="60">
        <v>103939.58</v>
      </c>
      <c r="M104" s="60">
        <v>807.96</v>
      </c>
      <c r="N104" s="61">
        <f t="shared" ref="N104" si="199">C104/C$7-1</f>
        <v>1.3417459252025585</v>
      </c>
      <c r="O104" s="61" t="e">
        <f t="shared" ref="O104" si="200">G104/G$7-1</f>
        <v>#REF!</v>
      </c>
      <c r="P104" s="61" t="e">
        <f t="shared" ref="P104" si="201">J104/J$7-1</f>
        <v>#REF!</v>
      </c>
      <c r="Q104" s="61">
        <f t="shared" ref="Q104" si="202">L104/L$7-1</f>
        <v>0.57708875583065455</v>
      </c>
      <c r="R104" s="61">
        <f t="shared" ref="R104" si="203">M104/M$7-1</f>
        <v>0.60084008638624176</v>
      </c>
      <c r="S104" s="83">
        <v>-1.5808879604964021E-2</v>
      </c>
      <c r="T104" s="62">
        <v>2.0940375965091502</v>
      </c>
      <c r="U104" s="62">
        <v>0</v>
      </c>
    </row>
    <row r="105" spans="1:21" ht="16.5" x14ac:dyDescent="0.25">
      <c r="A105" s="55">
        <v>46176</v>
      </c>
      <c r="B105" s="56">
        <v>29290996</v>
      </c>
      <c r="C105" s="79">
        <v>23.659225047393576</v>
      </c>
      <c r="D105" s="58">
        <v>1238037</v>
      </c>
      <c r="E105" s="58">
        <v>299315</v>
      </c>
      <c r="F105" s="58">
        <v>16182750.353</v>
      </c>
      <c r="G105" s="79" t="e">
        <v>#REF!</v>
      </c>
      <c r="H105" s="58" t="e">
        <v>#REF!</v>
      </c>
      <c r="I105" s="59">
        <v>5551891.5239139982</v>
      </c>
      <c r="J105" s="79">
        <v>3.387033201567561</v>
      </c>
      <c r="K105" s="59">
        <v>62915820</v>
      </c>
      <c r="L105" s="60">
        <v>105997.21</v>
      </c>
      <c r="M105" s="60">
        <v>819.33</v>
      </c>
      <c r="N105" s="61">
        <f t="shared" ref="N105:N106" si="204">C105/C$7-1</f>
        <v>1.3659225047393577</v>
      </c>
      <c r="O105" s="61" t="e">
        <f t="shared" ref="O105:O106" si="205">G105/G$7-1</f>
        <v>#REF!</v>
      </c>
      <c r="P105" s="61" t="e">
        <f t="shared" ref="P105:P106" si="206">J105/J$7-1</f>
        <v>#REF!</v>
      </c>
      <c r="Q105" s="61">
        <f t="shared" ref="Q105:Q106" si="207">L105/L$7-1</f>
        <v>0.60830944324020386</v>
      </c>
      <c r="R105" s="61">
        <f t="shared" ref="R105:R106" si="208">M105/M$7-1</f>
        <v>0.62336787462106957</v>
      </c>
      <c r="S105" s="83">
        <v>-5.6479246330519706E-3</v>
      </c>
      <c r="T105" s="62">
        <v>2.147957686382532</v>
      </c>
      <c r="U105" s="62">
        <v>0</v>
      </c>
    </row>
    <row r="106" spans="1:21" ht="16.5" x14ac:dyDescent="0.25">
      <c r="A106" s="55">
        <v>46177</v>
      </c>
      <c r="B106" s="56">
        <v>26139192</v>
      </c>
      <c r="C106" s="79">
        <v>21.113417450366992</v>
      </c>
      <c r="D106" s="58">
        <v>1238037</v>
      </c>
      <c r="E106" s="58">
        <v>-3151804</v>
      </c>
      <c r="F106" s="58">
        <v>16182750.353</v>
      </c>
      <c r="G106" s="79" t="e">
        <v>#REF!</v>
      </c>
      <c r="H106" s="58" t="e">
        <v>#REF!</v>
      </c>
      <c r="I106" s="59">
        <v>5551891.5239139982</v>
      </c>
      <c r="J106" s="79">
        <v>3.387033201567561</v>
      </c>
      <c r="K106" s="59">
        <v>48434310</v>
      </c>
      <c r="L106" s="60">
        <v>104213.94</v>
      </c>
      <c r="M106" s="60">
        <v>807.03</v>
      </c>
      <c r="N106" s="61">
        <f t="shared" si="204"/>
        <v>1.1113417450366994</v>
      </c>
      <c r="O106" s="61" t="e">
        <f t="shared" si="205"/>
        <v>#REF!</v>
      </c>
      <c r="P106" s="61" t="e">
        <f t="shared" si="206"/>
        <v>#REF!</v>
      </c>
      <c r="Q106" s="61">
        <f t="shared" si="207"/>
        <v>0.58125165576780757</v>
      </c>
      <c r="R106" s="61">
        <f t="shared" si="208"/>
        <v>0.59899744407679667</v>
      </c>
      <c r="S106" s="83">
        <v>-0.11264335928982672</v>
      </c>
      <c r="T106" s="62">
        <v>1.8529383004646816</v>
      </c>
      <c r="U106" s="62">
        <v>0</v>
      </c>
    </row>
    <row r="107" spans="1:21" ht="16.5" x14ac:dyDescent="0.25">
      <c r="A107" s="55">
        <v>46178</v>
      </c>
      <c r="B107" s="56">
        <v>24611276</v>
      </c>
      <c r="C107" s="79">
        <v>19.87927339812946</v>
      </c>
      <c r="D107" s="58">
        <v>1238037</v>
      </c>
      <c r="E107" s="58">
        <v>-1527916</v>
      </c>
      <c r="F107" s="58">
        <v>16182750.353</v>
      </c>
      <c r="G107" s="79" t="e">
        <v>#REF!</v>
      </c>
      <c r="H107" s="58" t="e">
        <v>#REF!</v>
      </c>
      <c r="I107" s="59">
        <v>5551891.5239139982</v>
      </c>
      <c r="J107" s="79">
        <v>3.387033201567561</v>
      </c>
      <c r="K107" s="59">
        <v>36861820</v>
      </c>
      <c r="L107" s="60">
        <v>102827.894598</v>
      </c>
      <c r="M107" s="60">
        <v>790.52</v>
      </c>
      <c r="N107" s="61">
        <f t="shared" ref="N107:N114" si="209">C107/C$7-1</f>
        <v>0.987927339812946</v>
      </c>
      <c r="O107" s="61" t="e">
        <f t="shared" ref="O107:O114" si="210">G107/G$7-1</f>
        <v>#REF!</v>
      </c>
      <c r="P107" s="61" t="e">
        <f t="shared" ref="P107:P114" si="211">J107/J$7-1</f>
        <v>#REF!</v>
      </c>
      <c r="Q107" s="61">
        <f t="shared" ref="Q107:Q114" si="212">L107/L$7-1</f>
        <v>0.56022100874609571</v>
      </c>
      <c r="R107" s="61">
        <f t="shared" ref="R107:R114" si="213">M107/M$7-1</f>
        <v>0.56628558974460574</v>
      </c>
      <c r="S107" s="83">
        <v>-0.1645120784548002</v>
      </c>
      <c r="T107" s="62">
        <v>1.4977614326051196</v>
      </c>
      <c r="U107" s="62">
        <v>0</v>
      </c>
    </row>
    <row r="108" spans="1:21" ht="16.5" x14ac:dyDescent="0.25">
      <c r="A108" s="55">
        <v>46181</v>
      </c>
      <c r="B108" s="56">
        <v>22914873</v>
      </c>
      <c r="C108" s="79">
        <v>18.509037290484855</v>
      </c>
      <c r="D108" s="58">
        <v>1238037</v>
      </c>
      <c r="E108" s="58">
        <v>-1696403</v>
      </c>
      <c r="F108" s="58">
        <v>16182750.353</v>
      </c>
      <c r="G108" s="79" t="e">
        <v>#REF!</v>
      </c>
      <c r="H108" s="58" t="e">
        <v>#REF!</v>
      </c>
      <c r="I108" s="59">
        <v>5551891.5239139982</v>
      </c>
      <c r="J108" s="79">
        <v>3.387033201567561</v>
      </c>
      <c r="K108" s="59">
        <v>27428190</v>
      </c>
      <c r="L108" s="60">
        <v>99265.25</v>
      </c>
      <c r="M108" s="60">
        <v>756.60669199999995</v>
      </c>
      <c r="N108" s="61">
        <f t="shared" si="209"/>
        <v>0.85090372904848555</v>
      </c>
      <c r="O108" s="61" t="e">
        <f t="shared" si="210"/>
        <v>#REF!</v>
      </c>
      <c r="P108" s="61" t="e">
        <f t="shared" si="211"/>
        <v>#REF!</v>
      </c>
      <c r="Q108" s="61">
        <f t="shared" si="212"/>
        <v>0.50616453924211435</v>
      </c>
      <c r="R108" s="61">
        <f t="shared" si="213"/>
        <v>0.49909193794456219</v>
      </c>
      <c r="S108" s="83">
        <v>-0.22210048697831786</v>
      </c>
      <c r="T108" s="62">
        <v>1.1969601577106712</v>
      </c>
      <c r="U108" s="62">
        <v>0</v>
      </c>
    </row>
    <row r="109" spans="1:21" ht="16.5" x14ac:dyDescent="0.25">
      <c r="A109" s="55">
        <v>46182</v>
      </c>
      <c r="B109" s="56">
        <v>23463958</v>
      </c>
      <c r="C109" s="79">
        <v>18.952549883404131</v>
      </c>
      <c r="D109" s="58">
        <v>1238037</v>
      </c>
      <c r="E109" s="58">
        <v>549085</v>
      </c>
      <c r="F109" s="58">
        <v>16182750.353</v>
      </c>
      <c r="G109" s="79" t="e">
        <v>#REF!</v>
      </c>
      <c r="H109" s="58" t="e">
        <v>#REF!</v>
      </c>
      <c r="I109" s="59">
        <v>5551891.5239139982</v>
      </c>
      <c r="J109" s="79">
        <v>3.387033201567561</v>
      </c>
      <c r="K109" s="59">
        <v>42263900</v>
      </c>
      <c r="L109" s="60">
        <v>102010.65</v>
      </c>
      <c r="M109" s="60">
        <v>779.05</v>
      </c>
      <c r="N109" s="61">
        <f t="shared" si="209"/>
        <v>0.89525498834041306</v>
      </c>
      <c r="O109" s="61" t="e">
        <f t="shared" si="210"/>
        <v>#REF!</v>
      </c>
      <c r="P109" s="61" t="e">
        <f t="shared" si="211"/>
        <v>#REF!</v>
      </c>
      <c r="Q109" s="61">
        <f t="shared" si="212"/>
        <v>0.54782085024757987</v>
      </c>
      <c r="R109" s="61">
        <f t="shared" si="213"/>
        <v>0.54355966792811716</v>
      </c>
      <c r="S109" s="83">
        <v>-0.20346049913690534</v>
      </c>
      <c r="T109" s="62">
        <v>1.8012263745102168</v>
      </c>
      <c r="U109" s="62">
        <v>0</v>
      </c>
    </row>
    <row r="110" spans="1:21" ht="16.5" x14ac:dyDescent="0.25">
      <c r="A110" s="55">
        <v>46183</v>
      </c>
      <c r="B110" s="56">
        <v>22101882</v>
      </c>
      <c r="C110" s="79">
        <v>17.852359824464052</v>
      </c>
      <c r="D110" s="58">
        <v>1238037</v>
      </c>
      <c r="E110" s="58">
        <v>-1362076</v>
      </c>
      <c r="F110" s="58">
        <v>16182750.353</v>
      </c>
      <c r="G110" s="79" t="e">
        <v>#REF!</v>
      </c>
      <c r="H110" s="58" t="e">
        <v>#REF!</v>
      </c>
      <c r="I110" s="59">
        <v>5551891.5239139982</v>
      </c>
      <c r="J110" s="79">
        <v>3.387033201567561</v>
      </c>
      <c r="K110" s="59">
        <v>20340000</v>
      </c>
      <c r="L110" s="60">
        <v>98639.28</v>
      </c>
      <c r="M110" s="60">
        <v>744.58</v>
      </c>
      <c r="N110" s="61">
        <f t="shared" si="209"/>
        <v>0.78523598244640525</v>
      </c>
      <c r="O110" s="61" t="e">
        <f t="shared" si="210"/>
        <v>#REF!</v>
      </c>
      <c r="P110" s="61" t="e">
        <f t="shared" si="211"/>
        <v>#REF!</v>
      </c>
      <c r="Q110" s="61">
        <f t="shared" si="212"/>
        <v>0.49666661507802479</v>
      </c>
      <c r="R110" s="61">
        <f t="shared" si="213"/>
        <v>0.47526302232965478</v>
      </c>
      <c r="S110" s="83">
        <v>-0.24969938761333366</v>
      </c>
      <c r="T110" s="62">
        <v>0.92028362109615824</v>
      </c>
      <c r="U110" s="62">
        <v>0</v>
      </c>
    </row>
    <row r="111" spans="1:21" ht="16.5" x14ac:dyDescent="0.25">
      <c r="A111" s="55">
        <v>46184</v>
      </c>
      <c r="B111" s="56">
        <v>22034982</v>
      </c>
      <c r="C111" s="79">
        <v>17.798322667254695</v>
      </c>
      <c r="D111" s="58">
        <v>1238037</v>
      </c>
      <c r="E111" s="58">
        <v>-66900</v>
      </c>
      <c r="F111" s="58">
        <v>16182750.353</v>
      </c>
      <c r="G111" s="79" t="e">
        <v>#REF!</v>
      </c>
      <c r="H111" s="58" t="e">
        <v>#REF!</v>
      </c>
      <c r="I111" s="59">
        <v>5551891.5239139982</v>
      </c>
      <c r="J111" s="79">
        <v>3.387033201567561</v>
      </c>
      <c r="K111" s="59">
        <v>28725000</v>
      </c>
      <c r="L111" s="60">
        <v>98585.81</v>
      </c>
      <c r="M111" s="60">
        <v>747</v>
      </c>
      <c r="N111" s="61">
        <f t="shared" si="209"/>
        <v>0.77983226672546957</v>
      </c>
      <c r="O111" s="61" t="e">
        <f t="shared" si="210"/>
        <v>#REF!</v>
      </c>
      <c r="P111" s="61" t="e">
        <f t="shared" si="211"/>
        <v>#REF!</v>
      </c>
      <c r="Q111" s="61">
        <f t="shared" si="212"/>
        <v>0.49585530781880505</v>
      </c>
      <c r="R111" s="61">
        <f t="shared" si="213"/>
        <v>0.48005785500584497</v>
      </c>
      <c r="S111" s="83">
        <v>-0.25197046620151309</v>
      </c>
      <c r="T111" s="62">
        <v>1.3036089614232496</v>
      </c>
      <c r="U111" s="62">
        <v>0</v>
      </c>
    </row>
    <row r="112" spans="1:21" ht="16.5" x14ac:dyDescent="0.25">
      <c r="A112" s="55">
        <v>46185</v>
      </c>
      <c r="B112" s="56">
        <v>22315557</v>
      </c>
      <c r="C112" s="79">
        <v>18.024951596761646</v>
      </c>
      <c r="D112" s="58">
        <v>1238037</v>
      </c>
      <c r="E112" s="58">
        <v>280575</v>
      </c>
      <c r="F112" s="58">
        <v>16182750.353</v>
      </c>
      <c r="G112" s="79" t="e">
        <v>#REF!</v>
      </c>
      <c r="H112" s="58" t="e">
        <v>#REF!</v>
      </c>
      <c r="I112" s="59">
        <v>5551891.5239139982</v>
      </c>
      <c r="J112" s="79">
        <v>3.387033201567561</v>
      </c>
      <c r="K112" s="59">
        <v>35342000</v>
      </c>
      <c r="L112" s="60">
        <v>100933.47</v>
      </c>
      <c r="M112" s="60">
        <v>770.19</v>
      </c>
      <c r="N112" s="61">
        <f t="shared" si="209"/>
        <v>0.80249515967616469</v>
      </c>
      <c r="O112" s="61" t="e">
        <f t="shared" si="210"/>
        <v>#REF!</v>
      </c>
      <c r="P112" s="61" t="e">
        <f t="shared" si="211"/>
        <v>#REF!</v>
      </c>
      <c r="Q112" s="61">
        <f t="shared" si="212"/>
        <v>0.53147665811205602</v>
      </c>
      <c r="R112" s="61">
        <f t="shared" si="213"/>
        <v>0.52600503259297438</v>
      </c>
      <c r="S112" s="83">
        <v>-0.24244568481319573</v>
      </c>
      <c r="T112" s="62">
        <v>1.5837381966311663</v>
      </c>
      <c r="U112" s="62">
        <v>0</v>
      </c>
    </row>
    <row r="113" spans="1:21" ht="16.5" x14ac:dyDescent="0.25">
      <c r="A113" s="55">
        <v>46188</v>
      </c>
      <c r="B113" s="56">
        <v>24404618</v>
      </c>
      <c r="C113" s="79">
        <v>19.712349469361577</v>
      </c>
      <c r="D113" s="58">
        <v>1238037</v>
      </c>
      <c r="E113" s="58">
        <v>2089061</v>
      </c>
      <c r="F113" s="58">
        <v>16182750.353</v>
      </c>
      <c r="G113" s="79" t="e">
        <v>#REF!</v>
      </c>
      <c r="H113" s="58" t="e">
        <v>#REF!</v>
      </c>
      <c r="I113" s="59">
        <v>5551891.5239139982</v>
      </c>
      <c r="J113" s="79">
        <v>3.387033201567561</v>
      </c>
      <c r="K113" s="59">
        <v>49792000</v>
      </c>
      <c r="L113" s="60">
        <v>103758.38</v>
      </c>
      <c r="M113" s="60">
        <v>787.98138899999992</v>
      </c>
      <c r="N113" s="61">
        <f t="shared" si="209"/>
        <v>0.97123494693615764</v>
      </c>
      <c r="O113" s="61" t="e">
        <f t="shared" si="210"/>
        <v>#REF!</v>
      </c>
      <c r="P113" s="61" t="e">
        <f t="shared" si="211"/>
        <v>#REF!</v>
      </c>
      <c r="Q113" s="61">
        <f t="shared" si="212"/>
        <v>0.57433938468102608</v>
      </c>
      <c r="R113" s="61">
        <f t="shared" si="213"/>
        <v>0.56125574884587182</v>
      </c>
      <c r="S113" s="83">
        <v>-0.17152757260840246</v>
      </c>
      <c r="T113" s="62">
        <v>2.0402695915994258</v>
      </c>
      <c r="U113" s="62">
        <v>0</v>
      </c>
    </row>
    <row r="114" spans="1:21" ht="16.5" x14ac:dyDescent="0.25">
      <c r="A114" s="55">
        <v>46189</v>
      </c>
      <c r="B114" s="56">
        <v>24922280</v>
      </c>
      <c r="C114" s="79">
        <v>20.130480752998498</v>
      </c>
      <c r="D114" s="58">
        <v>1238037</v>
      </c>
      <c r="E114" s="58">
        <v>517662</v>
      </c>
      <c r="F114" s="58">
        <v>16182750.353</v>
      </c>
      <c r="G114" s="79" t="e">
        <v>#REF!</v>
      </c>
      <c r="H114" s="58" t="e">
        <v>#REF!</v>
      </c>
      <c r="I114" s="59">
        <v>5551891.5239139982</v>
      </c>
      <c r="J114" s="79">
        <v>3.387033201567561</v>
      </c>
      <c r="K114" s="59">
        <v>51577390</v>
      </c>
      <c r="L114" s="60">
        <v>104708.91</v>
      </c>
      <c r="M114" s="60">
        <v>789.71</v>
      </c>
      <c r="N114" s="61">
        <f t="shared" si="209"/>
        <v>1.0130480752998499</v>
      </c>
      <c r="O114" s="61" t="e">
        <f t="shared" si="210"/>
        <v>#REF!</v>
      </c>
      <c r="P114" s="61" t="e">
        <f t="shared" si="211"/>
        <v>#REF!</v>
      </c>
      <c r="Q114" s="61">
        <f t="shared" si="212"/>
        <v>0.58876189990650341</v>
      </c>
      <c r="R114" s="61">
        <f t="shared" si="213"/>
        <v>0.56468070773315393</v>
      </c>
      <c r="S114" s="83">
        <v>-0.15395431275617322</v>
      </c>
      <c r="T114" s="62">
        <v>2.0695293528521468</v>
      </c>
      <c r="U114" s="62">
        <v>0</v>
      </c>
    </row>
    <row r="115" spans="1:21" ht="16.5" x14ac:dyDescent="0.25">
      <c r="A115" s="55">
        <v>46190</v>
      </c>
      <c r="B115" s="56">
        <v>25249010</v>
      </c>
      <c r="C115" s="79">
        <v>20.394390474598094</v>
      </c>
      <c r="D115" s="58">
        <v>1238037</v>
      </c>
      <c r="E115" s="58">
        <v>326730</v>
      </c>
      <c r="F115" s="58">
        <v>16182750.353</v>
      </c>
      <c r="G115" s="79" t="e">
        <v>#REF!</v>
      </c>
      <c r="H115" s="58" t="e">
        <v>#REF!</v>
      </c>
      <c r="I115" s="59">
        <v>5551891.5239139982</v>
      </c>
      <c r="J115" s="79">
        <v>3.387033201567561</v>
      </c>
      <c r="K115" s="59">
        <v>51904120</v>
      </c>
      <c r="L115" s="60">
        <v>104936.56</v>
      </c>
      <c r="M115" s="60">
        <v>795.8</v>
      </c>
      <c r="N115" s="61">
        <f t="shared" ref="N115:N119" si="214">C115/C$7-1</f>
        <v>1.0394390474598092</v>
      </c>
      <c r="O115" s="61" t="e">
        <f t="shared" ref="O115:O119" si="215">G115/G$7-1</f>
        <v>#REF!</v>
      </c>
      <c r="P115" s="61" t="e">
        <f t="shared" ref="P115:P119" si="216">J115/J$7-1</f>
        <v>#REF!</v>
      </c>
      <c r="Q115" s="61">
        <f t="shared" ref="Q115:Q119" si="217">L115/L$7-1</f>
        <v>0.59221606294299867</v>
      </c>
      <c r="R115" s="61">
        <f t="shared" ref="R115:R119" si="218">M115/M$7-1</f>
        <v>0.57674704285629375</v>
      </c>
      <c r="S115" s="83">
        <v>-0.1428626908261903</v>
      </c>
      <c r="T115" s="62">
        <v>2.0556893121750122</v>
      </c>
      <c r="U115" s="62">
        <v>0</v>
      </c>
    </row>
    <row r="116" spans="1:21" ht="16.5" x14ac:dyDescent="0.25">
      <c r="A116" s="55">
        <v>46191</v>
      </c>
      <c r="B116" s="56">
        <v>27447669</v>
      </c>
      <c r="C116" s="79">
        <v>22.170313972845722</v>
      </c>
      <c r="D116" s="58">
        <v>1238037</v>
      </c>
      <c r="E116" s="58">
        <v>2198659</v>
      </c>
      <c r="F116" s="58">
        <v>16182750.353</v>
      </c>
      <c r="G116" s="79" t="e">
        <v>#REF!</v>
      </c>
      <c r="H116" s="58" t="e">
        <v>#REF!</v>
      </c>
      <c r="I116" s="59">
        <v>5551891.5239139982</v>
      </c>
      <c r="J116" s="79">
        <v>3.387033201567561</v>
      </c>
      <c r="K116" s="59">
        <v>57224400</v>
      </c>
      <c r="L116" s="60">
        <v>106284.87</v>
      </c>
      <c r="M116" s="60">
        <v>821.04</v>
      </c>
      <c r="N116" s="61">
        <f t="shared" si="214"/>
        <v>1.2170313972845723</v>
      </c>
      <c r="O116" s="61" t="e">
        <f t="shared" si="215"/>
        <v>#REF!</v>
      </c>
      <c r="P116" s="61" t="e">
        <f t="shared" si="216"/>
        <v>#REF!</v>
      </c>
      <c r="Q116" s="61">
        <f t="shared" si="217"/>
        <v>0.61267414580588886</v>
      </c>
      <c r="R116" s="61">
        <f t="shared" si="218"/>
        <v>0.62675595886746849</v>
      </c>
      <c r="S116" s="83">
        <v>-6.822401552562285E-2</v>
      </c>
      <c r="T116" s="62">
        <v>2.0848546373828682</v>
      </c>
      <c r="U116" s="62">
        <v>0</v>
      </c>
    </row>
    <row r="117" spans="1:21" ht="16.5" x14ac:dyDescent="0.25">
      <c r="A117" s="55">
        <v>46195</v>
      </c>
      <c r="B117" s="56">
        <v>28455809</v>
      </c>
      <c r="C117" s="79">
        <v>22.984619199587733</v>
      </c>
      <c r="D117" s="58">
        <v>1238037</v>
      </c>
      <c r="E117" s="58">
        <v>1008140</v>
      </c>
      <c r="F117" s="58">
        <v>16182750.353</v>
      </c>
      <c r="G117" s="79" t="e">
        <v>#REF!</v>
      </c>
      <c r="H117" s="58" t="e">
        <v>#REF!</v>
      </c>
      <c r="I117" s="59">
        <v>5551891.5239139982</v>
      </c>
      <c r="J117" s="79">
        <v>3.387033201567561</v>
      </c>
      <c r="K117" s="59">
        <v>58232540</v>
      </c>
      <c r="L117" s="60">
        <v>109231.58</v>
      </c>
      <c r="M117" s="60">
        <v>832.88</v>
      </c>
      <c r="N117" s="61">
        <f t="shared" si="214"/>
        <v>1.2984619199587732</v>
      </c>
      <c r="O117" s="61" t="e">
        <f t="shared" si="215"/>
        <v>#REF!</v>
      </c>
      <c r="P117" s="61" t="e">
        <f t="shared" si="216"/>
        <v>#REF!</v>
      </c>
      <c r="Q117" s="61">
        <f t="shared" si="217"/>
        <v>0.65738495960457621</v>
      </c>
      <c r="R117" s="61">
        <f t="shared" si="218"/>
        <v>0.65021497493610192</v>
      </c>
      <c r="S117" s="83">
        <v>-3.4000320938370354E-2</v>
      </c>
      <c r="T117" s="62">
        <v>2.0464201175935641</v>
      </c>
      <c r="U117" s="62">
        <v>0</v>
      </c>
    </row>
    <row r="118" spans="1:21" ht="16.5" x14ac:dyDescent="0.25">
      <c r="A118" s="55">
        <v>46196</v>
      </c>
      <c r="B118" s="56">
        <v>26656519</v>
      </c>
      <c r="C118" s="79">
        <v>21.531278144352711</v>
      </c>
      <c r="D118" s="58">
        <v>1238037</v>
      </c>
      <c r="E118" s="58">
        <v>-1799290</v>
      </c>
      <c r="F118" s="58">
        <v>16182750.353</v>
      </c>
      <c r="G118" s="79" t="e">
        <v>#REF!</v>
      </c>
      <c r="H118" s="58" t="e">
        <v>#REF!</v>
      </c>
      <c r="I118" s="59">
        <v>5551891.5239139982</v>
      </c>
      <c r="J118" s="79">
        <v>3.387033201567561</v>
      </c>
      <c r="K118" s="59">
        <v>56433250</v>
      </c>
      <c r="L118" s="60">
        <v>107784.88</v>
      </c>
      <c r="M118" s="60">
        <v>809.69</v>
      </c>
      <c r="N118" s="61">
        <f t="shared" si="214"/>
        <v>1.1531278144352712</v>
      </c>
      <c r="O118" s="61" t="e">
        <f t="shared" si="215"/>
        <v>#REF!</v>
      </c>
      <c r="P118" s="61" t="e">
        <f t="shared" si="216"/>
        <v>#REF!</v>
      </c>
      <c r="Q118" s="61">
        <f t="shared" si="217"/>
        <v>0.63543399248444543</v>
      </c>
      <c r="R118" s="61">
        <f t="shared" si="218"/>
        <v>0.60426779734897296</v>
      </c>
      <c r="S118" s="83">
        <v>-9.5081471804219997E-2</v>
      </c>
      <c r="T118" s="62">
        <v>2.117052492863003</v>
      </c>
      <c r="U118" s="62">
        <v>0</v>
      </c>
    </row>
    <row r="119" spans="1:21" ht="16.5" x14ac:dyDescent="0.25">
      <c r="A119" s="55">
        <v>46197</v>
      </c>
      <c r="B119" s="56">
        <v>26400339</v>
      </c>
      <c r="C119" s="79">
        <v>21.324353795565077</v>
      </c>
      <c r="D119" s="58">
        <v>1238037</v>
      </c>
      <c r="E119" s="58">
        <v>-256180</v>
      </c>
      <c r="F119" s="58">
        <v>16182750.353</v>
      </c>
      <c r="G119" s="79" t="e">
        <v>#REF!</v>
      </c>
      <c r="H119" s="58" t="e">
        <v>#REF!</v>
      </c>
      <c r="I119" s="59">
        <v>5551891.5239139982</v>
      </c>
      <c r="J119" s="79">
        <v>3.387033201567561</v>
      </c>
      <c r="K119" s="59">
        <v>56177070</v>
      </c>
      <c r="L119" s="60">
        <v>105376.96000000001</v>
      </c>
      <c r="M119" s="60">
        <v>812.13</v>
      </c>
      <c r="N119" s="61">
        <f t="shared" si="214"/>
        <v>1.1324353795565076</v>
      </c>
      <c r="O119" s="61" t="e">
        <f t="shared" si="215"/>
        <v>#REF!</v>
      </c>
      <c r="P119" s="61" t="e">
        <f t="shared" si="216"/>
        <v>#REF!</v>
      </c>
      <c r="Q119" s="61">
        <f t="shared" si="217"/>
        <v>0.59889830937951327</v>
      </c>
      <c r="R119" s="61">
        <f t="shared" si="218"/>
        <v>0.60910225674149521</v>
      </c>
      <c r="S119" s="83">
        <v>-0.10377810727088355</v>
      </c>
      <c r="T119" s="62">
        <v>2.1278919941141665</v>
      </c>
      <c r="U119" s="62">
        <v>0</v>
      </c>
    </row>
    <row r="120" spans="1:21" ht="16.5" x14ac:dyDescent="0.25">
      <c r="A120" s="55">
        <v>46198</v>
      </c>
      <c r="B120" s="56">
        <v>28362348</v>
      </c>
      <c r="C120" s="79">
        <v>22.909127917824751</v>
      </c>
      <c r="D120" s="58">
        <v>1238037</v>
      </c>
      <c r="E120" s="58">
        <v>1962009</v>
      </c>
      <c r="F120" s="58">
        <v>16182750.353</v>
      </c>
      <c r="G120" s="79" t="e">
        <v>#REF!</v>
      </c>
      <c r="H120" s="58" t="e">
        <v>#REF!</v>
      </c>
      <c r="I120" s="59">
        <v>5551891.5239139982</v>
      </c>
      <c r="J120" s="79">
        <v>3.387033201567561</v>
      </c>
      <c r="K120" s="59">
        <v>59167720</v>
      </c>
      <c r="L120" s="60">
        <v>105874.47</v>
      </c>
      <c r="M120" s="60">
        <v>808.23</v>
      </c>
      <c r="N120" s="61">
        <f t="shared" ref="N120:N121" si="219">C120/C$7-1</f>
        <v>1.2909127917824752</v>
      </c>
      <c r="O120" s="61" t="e">
        <f t="shared" ref="O120:O121" si="220">G120/G$7-1</f>
        <v>#REF!</v>
      </c>
      <c r="P120" s="61" t="e">
        <f t="shared" ref="P120:P121" si="221">J120/J$7-1</f>
        <v>#REF!</v>
      </c>
      <c r="Q120" s="61">
        <f t="shared" ref="Q120:Q121" si="222">L120/L$7-1</f>
        <v>0.60644709326831969</v>
      </c>
      <c r="R120" s="61">
        <f t="shared" ref="R120:R121" si="223">M120/M$7-1</f>
        <v>0.60137504705672584</v>
      </c>
      <c r="S120" s="83">
        <v>-3.717307543657411E-2</v>
      </c>
      <c r="T120" s="62">
        <v>2.0861361689800857</v>
      </c>
      <c r="U120" s="62">
        <v>0</v>
      </c>
    </row>
    <row r="121" spans="1:21" ht="16.5" x14ac:dyDescent="0.25">
      <c r="A121" s="55">
        <v>46199</v>
      </c>
      <c r="B121" s="56">
        <v>24624788</v>
      </c>
      <c r="C121" s="79">
        <v>19.890187449971204</v>
      </c>
      <c r="D121" s="58">
        <v>1238037</v>
      </c>
      <c r="E121" s="58">
        <v>-3737560</v>
      </c>
      <c r="F121" s="58">
        <v>16182750.353</v>
      </c>
      <c r="G121" s="79" t="e">
        <v>#REF!</v>
      </c>
      <c r="H121" s="58" t="e">
        <v>#REF!</v>
      </c>
      <c r="I121" s="59">
        <v>5551891.5239139982</v>
      </c>
      <c r="J121" s="79">
        <v>3.387033201567561</v>
      </c>
      <c r="K121" s="59">
        <v>38846560</v>
      </c>
      <c r="L121" s="60">
        <v>102023.27</v>
      </c>
      <c r="M121" s="60">
        <v>763.29</v>
      </c>
      <c r="N121" s="61">
        <f t="shared" si="219"/>
        <v>0.98901874499712039</v>
      </c>
      <c r="O121" s="61" t="e">
        <f t="shared" si="220"/>
        <v>#REF!</v>
      </c>
      <c r="P121" s="61" t="e">
        <f t="shared" si="221"/>
        <v>#REF!</v>
      </c>
      <c r="Q121" s="61">
        <f t="shared" si="222"/>
        <v>0.5480123351477364</v>
      </c>
      <c r="R121" s="61">
        <f t="shared" si="223"/>
        <v>0.51233381545838208</v>
      </c>
      <c r="S121" s="83">
        <v>-0.16405338168524153</v>
      </c>
      <c r="T121" s="62">
        <v>1.5775388604360776</v>
      </c>
      <c r="U121" s="62">
        <v>0</v>
      </c>
    </row>
    <row r="122" spans="1:21" ht="16.5" x14ac:dyDescent="0.25">
      <c r="A122" s="55">
        <v>46202</v>
      </c>
      <c r="B122" s="56">
        <v>24742030</v>
      </c>
      <c r="C122" s="79">
        <v>19.984887366048024</v>
      </c>
      <c r="D122" s="58">
        <v>1238037</v>
      </c>
      <c r="E122" s="58">
        <v>117242</v>
      </c>
      <c r="F122" s="58">
        <v>16182750.353</v>
      </c>
      <c r="G122" s="79" t="e">
        <v>#REF!</v>
      </c>
      <c r="H122" s="58" t="e">
        <v>#REF!</v>
      </c>
      <c r="I122" s="59">
        <v>5551891.5239139982</v>
      </c>
      <c r="J122" s="79">
        <v>3.387033201567561</v>
      </c>
      <c r="K122" s="59">
        <v>31205500</v>
      </c>
      <c r="L122" s="60">
        <v>103010.12</v>
      </c>
      <c r="M122" s="60">
        <v>759.22</v>
      </c>
      <c r="N122" s="61">
        <f t="shared" ref="N122" si="224">C122/C$7-1</f>
        <v>0.99848873660480253</v>
      </c>
      <c r="O122" s="61" t="e">
        <f t="shared" ref="O122" si="225">G122/G$7-1</f>
        <v>#REF!</v>
      </c>
      <c r="P122" s="61" t="e">
        <f t="shared" ref="P122" si="226">J122/J$7-1</f>
        <v>#REF!</v>
      </c>
      <c r="Q122" s="61">
        <f t="shared" ref="Q122" si="227">L122/L$7-1</f>
        <v>0.56298593845353651</v>
      </c>
      <c r="R122" s="61">
        <f t="shared" ref="R122" si="228">M122/M$7-1</f>
        <v>0.50426977868478939</v>
      </c>
      <c r="S122" s="83">
        <v>-0.16007332494629789</v>
      </c>
      <c r="T122" s="62">
        <v>1.2612344257928714</v>
      </c>
      <c r="U122" s="62">
        <v>0</v>
      </c>
    </row>
    <row r="123" spans="1:21" ht="16.5" x14ac:dyDescent="0.25">
      <c r="A123" s="55">
        <v>46203</v>
      </c>
      <c r="B123" s="56">
        <v>26344608</v>
      </c>
      <c r="C123" s="79">
        <v>21.279338178099685</v>
      </c>
      <c r="D123" s="58">
        <v>1238037</v>
      </c>
      <c r="E123" s="58">
        <v>1602578</v>
      </c>
      <c r="F123" s="58">
        <v>16182750.353</v>
      </c>
      <c r="G123" s="79" t="e">
        <v>#REF!</v>
      </c>
      <c r="H123" s="58" t="e">
        <v>#REF!</v>
      </c>
      <c r="I123" s="59">
        <v>5551891.5239139982</v>
      </c>
      <c r="J123" s="79">
        <v>3.387033201567561</v>
      </c>
      <c r="K123" s="59">
        <v>53136400</v>
      </c>
      <c r="L123" s="60">
        <v>105644.15</v>
      </c>
      <c r="M123" s="60">
        <v>785.5</v>
      </c>
      <c r="N123" s="61">
        <f t="shared" ref="N123:N126" si="229">C123/C$7-1</f>
        <v>1.1279338178099687</v>
      </c>
      <c r="O123" s="61" t="e">
        <f t="shared" ref="O123:O126" si="230">G123/G$7-1</f>
        <v>#REF!</v>
      </c>
      <c r="P123" s="61" t="e">
        <f t="shared" ref="P123:P126" si="231">J123/J$7-1</f>
        <v>#REF!</v>
      </c>
      <c r="Q123" s="61">
        <f t="shared" ref="Q123:Q126" si="232">L123/L$7-1</f>
        <v>0.60295241797481802</v>
      </c>
      <c r="R123" s="61">
        <f t="shared" ref="R123:R126" si="233">M123/M$7-1</f>
        <v>0.55633928394523591</v>
      </c>
      <c r="S123" s="83">
        <v>-0.1056700277611351</v>
      </c>
      <c r="T123" s="62">
        <v>2.016974403263089</v>
      </c>
      <c r="U123" s="62">
        <v>0</v>
      </c>
    </row>
    <row r="124" spans="1:21" ht="16.5" x14ac:dyDescent="0.25">
      <c r="A124" s="55">
        <v>46204</v>
      </c>
      <c r="B124" s="56">
        <v>26905658</v>
      </c>
      <c r="C124" s="79">
        <v>21.732515264083382</v>
      </c>
      <c r="D124" s="58">
        <v>1238037</v>
      </c>
      <c r="E124" s="58">
        <v>561050</v>
      </c>
      <c r="F124" s="58">
        <v>16182750.353</v>
      </c>
      <c r="G124" s="79" t="e">
        <v>#REF!</v>
      </c>
      <c r="H124" s="58" t="e">
        <v>#REF!</v>
      </c>
      <c r="I124" s="59">
        <v>5551891.5239139982</v>
      </c>
      <c r="J124" s="79">
        <v>3.387033201567561</v>
      </c>
      <c r="K124" s="59">
        <v>53697450</v>
      </c>
      <c r="L124" s="60">
        <v>107781.41</v>
      </c>
      <c r="M124" s="60">
        <v>793.41</v>
      </c>
      <c r="N124" s="61">
        <f t="shared" si="229"/>
        <v>1.1732515264083383</v>
      </c>
      <c r="O124" s="61" t="e">
        <f t="shared" si="230"/>
        <v>#REF!</v>
      </c>
      <c r="P124" s="61" t="e">
        <f t="shared" si="231"/>
        <v>#REF!</v>
      </c>
      <c r="Q124" s="61">
        <f t="shared" si="232"/>
        <v>0.6353813417234675</v>
      </c>
      <c r="R124" s="61">
        <f t="shared" si="233"/>
        <v>0.57201165025460154</v>
      </c>
      <c r="S124" s="83">
        <v>-8.6623859720805441E-2</v>
      </c>
      <c r="T124" s="62">
        <v>1.9957679533427504</v>
      </c>
      <c r="U124" s="62">
        <v>0</v>
      </c>
    </row>
    <row r="125" spans="1:21" ht="16.5" x14ac:dyDescent="0.25">
      <c r="A125" s="55">
        <v>46205</v>
      </c>
      <c r="B125" s="56">
        <v>23890649</v>
      </c>
      <c r="C125" s="79">
        <v>19.297201133730251</v>
      </c>
      <c r="D125" s="58">
        <v>1238037</v>
      </c>
      <c r="E125" s="58">
        <v>-3015009</v>
      </c>
      <c r="F125" s="58">
        <v>16182750.353</v>
      </c>
      <c r="G125" s="79" t="e">
        <v>#REF!</v>
      </c>
      <c r="H125" s="58" t="e">
        <v>#REF!</v>
      </c>
      <c r="I125" s="59">
        <v>5551891.5239139982</v>
      </c>
      <c r="J125" s="79">
        <v>3.387033201567561</v>
      </c>
      <c r="K125" s="59">
        <v>15119600</v>
      </c>
      <c r="L125" s="60">
        <v>107156.03921399999</v>
      </c>
      <c r="M125" s="60">
        <v>808.64347200000009</v>
      </c>
      <c r="N125" s="61">
        <f t="shared" si="229"/>
        <v>0.92972011337302507</v>
      </c>
      <c r="O125" s="61" t="e">
        <f t="shared" si="230"/>
        <v>#REF!</v>
      </c>
      <c r="P125" s="61" t="e">
        <f t="shared" si="231"/>
        <v>#REF!</v>
      </c>
      <c r="Q125" s="61">
        <f t="shared" si="232"/>
        <v>0.6258925095112764</v>
      </c>
      <c r="R125" s="61">
        <f t="shared" si="233"/>
        <v>0.60219427393949032</v>
      </c>
      <c r="S125" s="83">
        <v>-0.1889754648488805</v>
      </c>
      <c r="T125" s="62">
        <v>0.63286685933061093</v>
      </c>
      <c r="U125" s="62">
        <v>0</v>
      </c>
    </row>
    <row r="126" spans="1:21" ht="16.5" x14ac:dyDescent="0.25">
      <c r="A126" s="55">
        <v>46206</v>
      </c>
      <c r="B126" s="56">
        <v>24269401</v>
      </c>
      <c r="C126" s="79">
        <v>19.603130601104812</v>
      </c>
      <c r="D126" s="58">
        <v>1238037</v>
      </c>
      <c r="E126" s="58">
        <v>378752</v>
      </c>
      <c r="F126" s="58">
        <v>16182750.353</v>
      </c>
      <c r="G126" s="79" t="e">
        <v>#REF!</v>
      </c>
      <c r="H126" s="58" t="e">
        <v>#REF!</v>
      </c>
      <c r="I126" s="59">
        <v>5551891.5239139982</v>
      </c>
      <c r="J126" s="79">
        <v>3.387033201567561</v>
      </c>
      <c r="K126" s="59">
        <v>29304300</v>
      </c>
      <c r="L126" s="60">
        <v>107348.92008458519</v>
      </c>
      <c r="M126" s="60">
        <v>819.47929452480014</v>
      </c>
      <c r="N126" s="61">
        <f t="shared" si="229"/>
        <v>0.96031306011048123</v>
      </c>
      <c r="O126" s="61" t="e">
        <f t="shared" si="230"/>
        <v>#REF!</v>
      </c>
      <c r="P126" s="61" t="e">
        <f t="shared" si="231"/>
        <v>#REF!</v>
      </c>
      <c r="Q126" s="61">
        <f t="shared" si="232"/>
        <v>0.62881911602839669</v>
      </c>
      <c r="R126" s="61">
        <f t="shared" si="233"/>
        <v>0.62366367721027949</v>
      </c>
      <c r="S126" s="83">
        <v>-0.17611783319820595</v>
      </c>
      <c r="T126" s="62">
        <v>1.2074587254955325</v>
      </c>
      <c r="U126" s="62">
        <v>0</v>
      </c>
    </row>
    <row r="127" spans="1:21" ht="16.5" x14ac:dyDescent="0.25">
      <c r="A127" s="55">
        <v>46209</v>
      </c>
      <c r="B127" s="56">
        <v>23862566</v>
      </c>
      <c r="C127" s="79">
        <v>19.274517643656853</v>
      </c>
      <c r="D127" s="58">
        <v>1238037</v>
      </c>
      <c r="E127" s="58">
        <v>-406835</v>
      </c>
      <c r="F127" s="58">
        <v>16182750.353</v>
      </c>
      <c r="G127" s="79" t="e">
        <v>#REF!</v>
      </c>
      <c r="H127" s="58" t="e">
        <v>#REF!</v>
      </c>
      <c r="I127" s="59">
        <v>5551891.5239139982</v>
      </c>
      <c r="J127" s="79">
        <v>3.387033201567561</v>
      </c>
      <c r="K127" s="59">
        <v>34291400</v>
      </c>
      <c r="L127" s="60">
        <v>106844.47</v>
      </c>
      <c r="M127" s="60">
        <v>810.53</v>
      </c>
      <c r="N127" s="61">
        <f t="shared" ref="N127" si="234">C127/C$7-1</f>
        <v>0.92745176436568544</v>
      </c>
      <c r="O127" s="61" t="e">
        <f t="shared" ref="O127" si="235">G127/G$7-1</f>
        <v>#REF!</v>
      </c>
      <c r="P127" s="61" t="e">
        <f t="shared" ref="P127" si="236">J127/J$7-1</f>
        <v>#REF!</v>
      </c>
      <c r="Q127" s="61">
        <f t="shared" ref="Q127" si="237">L127/L$7-1</f>
        <v>0.62116502933421236</v>
      </c>
      <c r="R127" s="61">
        <f t="shared" ref="R127" si="238">M127/M$7-1</f>
        <v>0.60593211943492298</v>
      </c>
      <c r="S127" s="83">
        <v>-0.18992880864547002</v>
      </c>
      <c r="T127" s="62">
        <v>1.4370374082988393</v>
      </c>
      <c r="U127" s="62">
        <v>0</v>
      </c>
    </row>
    <row r="128" spans="1:21" ht="16.5" x14ac:dyDescent="0.25">
      <c r="A128" s="55">
        <v>46210</v>
      </c>
      <c r="B128" s="56">
        <v>23678869</v>
      </c>
      <c r="C128" s="79">
        <f>B128/D128</f>
        <v>19.126140010355101</v>
      </c>
      <c r="D128" s="58">
        <v>1238037</v>
      </c>
      <c r="E128" s="58">
        <f>B128-B127</f>
        <v>-183697</v>
      </c>
      <c r="F128" s="58">
        <v>16182750.353</v>
      </c>
      <c r="G128" s="79" t="e">
        <v>#REF!</v>
      </c>
      <c r="H128" s="58" t="e">
        <v>#REF!</v>
      </c>
      <c r="I128" s="59">
        <v>5551891.5239139982</v>
      </c>
      <c r="J128" s="79">
        <v>3.387033201567561</v>
      </c>
      <c r="K128" s="59">
        <v>23634052</v>
      </c>
      <c r="L128" s="60">
        <v>104408.51</v>
      </c>
      <c r="M128" s="60">
        <v>773.15</v>
      </c>
      <c r="N128" s="61">
        <f t="shared" ref="N128:N132" si="239">C128/C$7-1</f>
        <v>0.91261400103551016</v>
      </c>
      <c r="O128" s="61" t="e">
        <f t="shared" ref="O128:O132" si="240">G128/G$7-1</f>
        <v>#REF!</v>
      </c>
      <c r="P128" s="61" t="e">
        <f t="shared" ref="P128:P132" si="241">J128/J$7-1</f>
        <v>#REF!</v>
      </c>
      <c r="Q128" s="61">
        <f t="shared" ref="Q128:Q132" si="242">L128/L$7-1</f>
        <v>0.58420389166506581</v>
      </c>
      <c r="R128" s="61">
        <f t="shared" ref="R128:R132" si="243">M128/M$7-1</f>
        <v>0.53186978661013251</v>
      </c>
      <c r="S128" s="83">
        <v>-0.20607984372263533</v>
      </c>
      <c r="T128" s="62">
        <v>1.0105723318526831</v>
      </c>
      <c r="U128" s="62">
        <v>0</v>
      </c>
    </row>
    <row r="129" spans="1:21" ht="16.5" x14ac:dyDescent="0.25">
      <c r="A129" s="55">
        <v>46211</v>
      </c>
      <c r="B129" s="56">
        <v>25356181</v>
      </c>
      <c r="C129" s="79">
        <v>20.480955738802638</v>
      </c>
      <c r="D129" s="58">
        <v>1238037</v>
      </c>
      <c r="E129" s="58">
        <v>1677312</v>
      </c>
      <c r="F129" s="58">
        <v>16182750.353</v>
      </c>
      <c r="G129" s="79" t="e">
        <v>#REF!</v>
      </c>
      <c r="H129" s="58" t="e">
        <v>#REF!</v>
      </c>
      <c r="I129" s="59">
        <v>5551891.5239139982</v>
      </c>
      <c r="J129" s="79">
        <v>3.387033201567561</v>
      </c>
      <c r="K129" s="59">
        <v>27771136</v>
      </c>
      <c r="L129" s="60">
        <v>105056.55</v>
      </c>
      <c r="M129" s="60">
        <v>775.85602500000005</v>
      </c>
      <c r="N129" s="61">
        <f t="shared" si="239"/>
        <v>1.0480955738802638</v>
      </c>
      <c r="O129" s="61" t="e">
        <f t="shared" si="240"/>
        <v>#REF!</v>
      </c>
      <c r="P129" s="61" t="e">
        <f t="shared" si="241"/>
        <v>#REF!</v>
      </c>
      <c r="Q129" s="61">
        <f t="shared" si="242"/>
        <v>0.59403668680747956</v>
      </c>
      <c r="R129" s="61">
        <f t="shared" si="243"/>
        <v>0.53723133086326813</v>
      </c>
      <c r="S129" s="83">
        <v>-0.13922451798054336</v>
      </c>
      <c r="T129" s="62">
        <v>1.0952412747014229</v>
      </c>
      <c r="U129" s="62">
        <v>0</v>
      </c>
    </row>
    <row r="130" spans="1:21" ht="16.5" x14ac:dyDescent="0.25">
      <c r="A130" s="55">
        <v>46212</v>
      </c>
      <c r="B130" s="56">
        <v>24549563</v>
      </c>
      <c r="C130" s="79">
        <v>19.829425937997005</v>
      </c>
      <c r="D130" s="58">
        <v>1238037</v>
      </c>
      <c r="E130" s="58">
        <v>-806618</v>
      </c>
      <c r="F130" s="58">
        <v>16182750.353</v>
      </c>
      <c r="G130" s="79" t="e">
        <v>#REF!</v>
      </c>
      <c r="H130" s="58" t="e">
        <v>#REF!</v>
      </c>
      <c r="I130" s="59">
        <v>5551891.5239139982</v>
      </c>
      <c r="J130" s="79">
        <v>3.387033201567561</v>
      </c>
      <c r="K130" s="59">
        <v>22628336</v>
      </c>
      <c r="L130" s="60">
        <v>104241.44</v>
      </c>
      <c r="M130" s="60">
        <v>777.52</v>
      </c>
      <c r="N130" s="61">
        <f t="shared" si="239"/>
        <v>0.9829425937997005</v>
      </c>
      <c r="O130" s="61" t="e">
        <f t="shared" si="240"/>
        <v>#REF!</v>
      </c>
      <c r="P130" s="61" t="e">
        <f t="shared" si="241"/>
        <v>#REF!</v>
      </c>
      <c r="Q130" s="61">
        <f t="shared" si="242"/>
        <v>0.58166891684184052</v>
      </c>
      <c r="R130" s="61">
        <f t="shared" si="243"/>
        <v>0.54052822412870749</v>
      </c>
      <c r="S130" s="83">
        <v>-0.16660707207082903</v>
      </c>
      <c r="T130" s="62">
        <v>0.92174088801499232</v>
      </c>
      <c r="U130" s="62">
        <v>0</v>
      </c>
    </row>
    <row r="131" spans="1:21" ht="16.5" x14ac:dyDescent="0.25">
      <c r="A131" s="55">
        <v>46216</v>
      </c>
      <c r="B131" s="56">
        <v>23951243</v>
      </c>
      <c r="C131" s="79">
        <v>19.346144743654673</v>
      </c>
      <c r="D131" s="58">
        <v>1238037</v>
      </c>
      <c r="E131" s="58">
        <v>-598320</v>
      </c>
      <c r="F131" s="58">
        <v>16182750.353</v>
      </c>
      <c r="G131" s="79" t="e">
        <v>#REF!</v>
      </c>
      <c r="H131" s="58" t="e">
        <v>#REF!</v>
      </c>
      <c r="I131" s="59">
        <v>5551891.5239139982</v>
      </c>
      <c r="J131" s="79">
        <v>3.387033201567561</v>
      </c>
      <c r="K131" s="59">
        <v>22030016</v>
      </c>
      <c r="L131" s="60">
        <v>104360.55</v>
      </c>
      <c r="M131" s="60">
        <v>775.53</v>
      </c>
      <c r="N131" s="61">
        <f t="shared" si="239"/>
        <v>0.93461447436546718</v>
      </c>
      <c r="O131" s="61" t="e">
        <f t="shared" si="240"/>
        <v>#REF!</v>
      </c>
      <c r="P131" s="61" t="e">
        <f t="shared" si="241"/>
        <v>#REF!</v>
      </c>
      <c r="Q131" s="61">
        <f t="shared" si="242"/>
        <v>0.58347618835195236</v>
      </c>
      <c r="R131" s="61">
        <f t="shared" si="243"/>
        <v>0.53658536585365857</v>
      </c>
      <c r="S131" s="83">
        <v>-0.18691845833210707</v>
      </c>
      <c r="T131" s="62">
        <v>0.91978591674761934</v>
      </c>
      <c r="U131" s="62">
        <v>0</v>
      </c>
    </row>
    <row r="132" spans="1:21" ht="16.5" x14ac:dyDescent="0.25">
      <c r="A132" s="55">
        <v>46217</v>
      </c>
      <c r="B132" s="56">
        <v>24200667</v>
      </c>
      <c r="C132" s="79">
        <v>19.547612066521438</v>
      </c>
      <c r="D132" s="58">
        <v>1238037</v>
      </c>
      <c r="E132" s="58">
        <v>249424</v>
      </c>
      <c r="F132" s="58">
        <v>16182750.353</v>
      </c>
      <c r="G132" s="79" t="e">
        <v>#REF!</v>
      </c>
      <c r="H132" s="58" t="e">
        <v>#REF!</v>
      </c>
      <c r="I132" s="59">
        <v>5551891.5239139982</v>
      </c>
      <c r="J132" s="79">
        <v>3.387033201567561</v>
      </c>
      <c r="K132" s="59">
        <v>22279440</v>
      </c>
      <c r="L132" s="60">
        <v>102902.72</v>
      </c>
      <c r="M132" s="60">
        <v>752.58</v>
      </c>
      <c r="N132" s="61">
        <f t="shared" si="239"/>
        <v>0.95476120665214381</v>
      </c>
      <c r="O132" s="61" t="e">
        <f t="shared" si="240"/>
        <v>#REF!</v>
      </c>
      <c r="P132" s="61" t="e">
        <f t="shared" si="241"/>
        <v>#REF!</v>
      </c>
      <c r="Q132" s="61">
        <f t="shared" si="242"/>
        <v>0.56135634429531289</v>
      </c>
      <c r="R132" s="61">
        <f t="shared" si="243"/>
        <v>0.49111370886251526</v>
      </c>
      <c r="S132" s="83">
        <v>-0.1784511712502227</v>
      </c>
      <c r="T132" s="62">
        <v>0.92061264261848652</v>
      </c>
      <c r="U132" s="62">
        <v>0</v>
      </c>
    </row>
    <row r="133" spans="1:21" ht="16.5" x14ac:dyDescent="0.25">
      <c r="A133" s="55">
        <v>46218</v>
      </c>
      <c r="B133" s="56">
        <v>27138078</v>
      </c>
      <c r="C133" s="79">
        <f>B133/D133</f>
        <v>21.920247940893528</v>
      </c>
      <c r="D133" s="58">
        <v>1238037</v>
      </c>
      <c r="E133" s="58">
        <f>B133-B132</f>
        <v>2937411</v>
      </c>
      <c r="F133" s="58">
        <v>16182750.353</v>
      </c>
      <c r="G133" s="79" t="e">
        <v>#REF!</v>
      </c>
      <c r="H133" s="58" t="e">
        <v>#REF!</v>
      </c>
      <c r="I133" s="59">
        <v>5551891.5239139982</v>
      </c>
      <c r="J133" s="79">
        <v>3.387033201567561</v>
      </c>
      <c r="K133" s="59">
        <v>26367696</v>
      </c>
      <c r="L133" s="60">
        <v>104970.69</v>
      </c>
      <c r="M133" s="60">
        <v>769.36</v>
      </c>
      <c r="N133" s="61">
        <f t="shared" ref="N133" si="244">C133/C$7-1</f>
        <v>1.1920247940893529</v>
      </c>
      <c r="O133" s="61" t="e">
        <f t="shared" ref="O133" si="245">G133/G$7-1</f>
        <v>#REF!</v>
      </c>
      <c r="P133" s="61" t="e">
        <f t="shared" ref="P133" si="246">J133/J$7-1</f>
        <v>#REF!</v>
      </c>
      <c r="Q133" s="61">
        <f t="shared" ref="Q133" si="247">L133/L$7-1</f>
        <v>0.59273392186869844</v>
      </c>
      <c r="R133" s="61">
        <f t="shared" ref="R133" si="248">M133/M$7-1</f>
        <v>0.52436052386519005</v>
      </c>
      <c r="S133" s="83">
        <v>-8.2788486643189385E-2</v>
      </c>
      <c r="T133" s="62">
        <v>0.97590766788466543</v>
      </c>
      <c r="U133" s="62">
        <v>0</v>
      </c>
    </row>
    <row r="134" spans="1:21" ht="16.5" x14ac:dyDescent="0.25">
      <c r="A134" s="55">
        <v>46219</v>
      </c>
      <c r="B134" s="56">
        <v>27291390</v>
      </c>
      <c r="C134" s="79">
        <v>22.044082688966483</v>
      </c>
      <c r="D134" s="58">
        <v>1238037</v>
      </c>
      <c r="E134" s="58">
        <v>153312</v>
      </c>
      <c r="F134" s="58">
        <v>16182750.353</v>
      </c>
      <c r="G134" s="79" t="e">
        <v>#REF!</v>
      </c>
      <c r="H134" s="58" t="e">
        <v>#REF!</v>
      </c>
      <c r="I134" s="59">
        <v>5551891.5239139982</v>
      </c>
      <c r="J134" s="79">
        <v>3.387033201567561</v>
      </c>
      <c r="K134" s="59">
        <v>26640448</v>
      </c>
      <c r="L134" s="60">
        <v>105017.85</v>
      </c>
      <c r="M134" s="60">
        <v>752.56</v>
      </c>
      <c r="N134" s="61">
        <v>1.2044082688966484</v>
      </c>
      <c r="O134" s="61" t="e">
        <v>#REF!</v>
      </c>
      <c r="P134" s="61" t="e">
        <v>#REF!</v>
      </c>
      <c r="Q134" s="61">
        <v>0.59344948667784037</v>
      </c>
      <c r="R134" s="61">
        <v>0.49107408214618298</v>
      </c>
      <c r="S134" s="83">
        <v>-7.3529275476027833E-2</v>
      </c>
      <c r="T134" s="62">
        <v>0.97614844828350622</v>
      </c>
      <c r="U134" s="62">
        <v>0</v>
      </c>
    </row>
    <row r="135" spans="1:21" ht="16.5" x14ac:dyDescent="0.25">
      <c r="A135" s="55">
        <v>46220</v>
      </c>
      <c r="B135" s="56">
        <v>25815996</v>
      </c>
      <c r="C135" s="79">
        <v>20.852362247654955</v>
      </c>
      <c r="D135" s="58">
        <v>1238037</v>
      </c>
      <c r="E135" s="58">
        <v>-1475394</v>
      </c>
      <c r="F135" s="58">
        <v>16182750.353</v>
      </c>
      <c r="G135" s="79" t="e">
        <v>#REF!</v>
      </c>
      <c r="H135" s="58" t="e">
        <v>#REF!</v>
      </c>
      <c r="I135" s="59">
        <v>5551891.5239139982</v>
      </c>
      <c r="J135" s="79">
        <v>3.387033201567561</v>
      </c>
      <c r="K135" s="59">
        <v>12593152</v>
      </c>
      <c r="L135" s="60">
        <v>98228.75</v>
      </c>
      <c r="M135" s="60">
        <v>699.92</v>
      </c>
      <c r="N135" s="61">
        <v>1.0852362247654956</v>
      </c>
      <c r="O135" s="61" t="e">
        <v>#REF!</v>
      </c>
      <c r="P135" s="61" t="e">
        <v>#REF!</v>
      </c>
      <c r="Q135" s="61">
        <v>0.49043759003356002</v>
      </c>
      <c r="R135" s="61">
        <v>0.38677656475996125</v>
      </c>
      <c r="S135" s="83">
        <v>-0.12361501123878382</v>
      </c>
      <c r="T135" s="62">
        <v>0.48780422804527862</v>
      </c>
      <c r="U135" s="62">
        <v>0</v>
      </c>
    </row>
    <row r="136" spans="1:21" ht="16.5" x14ac:dyDescent="0.25">
      <c r="A136" s="55">
        <v>46223</v>
      </c>
      <c r="B136" s="56">
        <v>25780220</v>
      </c>
      <c r="C136" s="79">
        <v>20.823464888367635</v>
      </c>
      <c r="D136" s="58">
        <v>1238037</v>
      </c>
      <c r="E136" s="58">
        <v>-35776</v>
      </c>
      <c r="F136" s="58">
        <v>16182750.353</v>
      </c>
      <c r="G136" s="79" t="e">
        <v>#REF!</v>
      </c>
      <c r="H136" s="58" t="e">
        <v>#REF!</v>
      </c>
      <c r="I136" s="59">
        <v>5551891.5239139982</v>
      </c>
      <c r="J136" s="79">
        <v>3.387033201567561</v>
      </c>
      <c r="K136" s="59">
        <v>12557376</v>
      </c>
      <c r="L136" s="60">
        <v>97721.96</v>
      </c>
      <c r="M136" s="60">
        <v>682.12</v>
      </c>
      <c r="N136" s="61">
        <f t="shared" ref="N136:N140" si="249">C136/C$7-1</f>
        <v>1.0823464888367633</v>
      </c>
      <c r="O136" s="61" t="e">
        <f t="shared" ref="O136:O140" si="250">G136/G$7-1</f>
        <v>#REF!</v>
      </c>
      <c r="P136" s="61" t="e">
        <f t="shared" ref="P136:P140" si="251">J136/J$7-1</f>
        <v>#REF!</v>
      </c>
      <c r="Q136" s="61">
        <f t="shared" ref="Q136:Q140" si="252">L136/L$7-1</f>
        <v>0.48274799949868008</v>
      </c>
      <c r="R136" s="61">
        <f t="shared" ref="R136:R140" si="253">M136/M$7-1</f>
        <v>0.35150878722434675</v>
      </c>
      <c r="S136" s="83">
        <v>-0.12482951209933246</v>
      </c>
      <c r="T136" s="62">
        <v>0.48709343830269874</v>
      </c>
      <c r="U136" s="62">
        <v>0</v>
      </c>
    </row>
    <row r="137" spans="1:21" ht="16.5" x14ac:dyDescent="0.25">
      <c r="A137" s="55">
        <v>46224</v>
      </c>
      <c r="B137" s="56">
        <v>25619228</v>
      </c>
      <c r="C137" s="79">
        <v>20.693426771574678</v>
      </c>
      <c r="D137" s="58">
        <v>1238037</v>
      </c>
      <c r="E137" s="58">
        <v>-160992</v>
      </c>
      <c r="F137" s="58">
        <v>16182750.353</v>
      </c>
      <c r="G137" s="79" t="e">
        <v>#REF!</v>
      </c>
      <c r="H137" s="58" t="e">
        <v>#REF!</v>
      </c>
      <c r="I137" s="59">
        <v>5551891.5239139982</v>
      </c>
      <c r="J137" s="79">
        <v>3.387033201567561</v>
      </c>
      <c r="K137" s="59">
        <v>12396384</v>
      </c>
      <c r="L137" s="60">
        <v>101867.7</v>
      </c>
      <c r="M137" s="60">
        <v>707.02</v>
      </c>
      <c r="N137" s="61">
        <f t="shared" si="249"/>
        <v>1.0693426771574677</v>
      </c>
      <c r="O137" s="61" t="e">
        <f t="shared" si="250"/>
        <v>#REF!</v>
      </c>
      <c r="P137" s="61" t="e">
        <f t="shared" si="251"/>
        <v>#REF!</v>
      </c>
      <c r="Q137" s="61">
        <f t="shared" si="252"/>
        <v>0.54565185131910643</v>
      </c>
      <c r="R137" s="61">
        <f t="shared" si="253"/>
        <v>0.40084404905787485</v>
      </c>
      <c r="S137" s="83">
        <v>-0.13029476597180156</v>
      </c>
      <c r="T137" s="62">
        <v>0.48387031802831842</v>
      </c>
      <c r="U137" s="62">
        <v>0</v>
      </c>
    </row>
    <row r="138" spans="1:21" ht="16.5" x14ac:dyDescent="0.25">
      <c r="A138" s="55">
        <v>46225</v>
      </c>
      <c r="B138" s="56">
        <v>25435283</v>
      </c>
      <c r="C138" s="79">
        <v>20.544848821158009</v>
      </c>
      <c r="D138" s="58">
        <v>1238037</v>
      </c>
      <c r="E138" s="58">
        <v>-183945</v>
      </c>
      <c r="F138" s="58">
        <v>16182750.353</v>
      </c>
      <c r="G138" s="79" t="e">
        <v>#REF!</v>
      </c>
      <c r="H138" s="58" t="e">
        <v>#REF!</v>
      </c>
      <c r="I138" s="59">
        <v>5551891.5239139982</v>
      </c>
      <c r="J138" s="79">
        <v>3.387033201567561</v>
      </c>
      <c r="K138" s="59">
        <v>7523608</v>
      </c>
      <c r="L138" s="60">
        <v>101867.7</v>
      </c>
      <c r="M138" s="60">
        <v>707.02</v>
      </c>
      <c r="N138" s="61">
        <f t="shared" si="249"/>
        <v>1.0544848821158008</v>
      </c>
      <c r="O138" s="61" t="e">
        <f t="shared" si="250"/>
        <v>#REF!</v>
      </c>
      <c r="P138" s="61" t="e">
        <f t="shared" si="251"/>
        <v>#REF!</v>
      </c>
      <c r="Q138" s="61">
        <f t="shared" si="252"/>
        <v>0.54565185131910643</v>
      </c>
      <c r="R138" s="61">
        <f t="shared" si="253"/>
        <v>0.40084404905787485</v>
      </c>
      <c r="S138" s="83">
        <v>-0.13653921366840338</v>
      </c>
      <c r="T138" s="62">
        <v>0.2957941533420328</v>
      </c>
      <c r="U138" s="62">
        <v>0</v>
      </c>
    </row>
    <row r="139" spans="1:21" ht="16.5" x14ac:dyDescent="0.25">
      <c r="A139" s="55">
        <v>46226</v>
      </c>
      <c r="B139" s="56">
        <v>26044481.686059996</v>
      </c>
      <c r="C139" s="79">
        <v>21.036917059877851</v>
      </c>
      <c r="D139" s="58">
        <v>1238037</v>
      </c>
      <c r="E139" s="58">
        <v>609198.68605999649</v>
      </c>
      <c r="F139" s="58">
        <v>16182750.353</v>
      </c>
      <c r="G139" s="79" t="e">
        <v>#REF!</v>
      </c>
      <c r="H139" s="58" t="e">
        <v>#REF!</v>
      </c>
      <c r="I139" s="59">
        <v>5551891.5239139982</v>
      </c>
      <c r="J139" s="79">
        <v>3.387033201567561</v>
      </c>
      <c r="K139" s="59">
        <v>21283120.686059996</v>
      </c>
      <c r="L139" s="60">
        <v>103326.54</v>
      </c>
      <c r="M139" s="60">
        <v>726.36</v>
      </c>
      <c r="N139" s="61">
        <f t="shared" si="249"/>
        <v>1.1036917059877851</v>
      </c>
      <c r="O139" s="61" t="e">
        <f t="shared" si="250"/>
        <v>#REF!</v>
      </c>
      <c r="P139" s="61" t="e">
        <f t="shared" si="251"/>
        <v>#REF!</v>
      </c>
      <c r="Q139" s="61">
        <f t="shared" si="252"/>
        <v>0.56778702023701033</v>
      </c>
      <c r="R139" s="61">
        <f t="shared" si="253"/>
        <v>0.43916308375106516</v>
      </c>
      <c r="S139" s="83">
        <v>-0.11585852470191782</v>
      </c>
      <c r="T139" s="62">
        <v>0.81718349946858559</v>
      </c>
      <c r="U139" s="62">
        <v>0</v>
      </c>
    </row>
    <row r="140" spans="1:21" ht="16.5" x14ac:dyDescent="0.25">
      <c r="A140" s="55">
        <v>46227</v>
      </c>
      <c r="B140" s="56">
        <v>25689834.60712</v>
      </c>
      <c r="C140" s="79">
        <v>20.750457867672775</v>
      </c>
      <c r="D140" s="58">
        <v>1238037</v>
      </c>
      <c r="E140" s="58">
        <v>-354647.07893999666</v>
      </c>
      <c r="F140" s="58">
        <v>16182750.353</v>
      </c>
      <c r="G140" s="79" t="e">
        <v>#REF!</v>
      </c>
      <c r="H140" s="58" t="e">
        <v>#REF!</v>
      </c>
      <c r="I140" s="59">
        <v>5551891.5239139982</v>
      </c>
      <c r="J140" s="79">
        <v>3.387033201567561</v>
      </c>
      <c r="K140" s="59">
        <v>20928473.60712</v>
      </c>
      <c r="L140" s="60">
        <v>100574.58</v>
      </c>
      <c r="M140" s="60">
        <v>699.59</v>
      </c>
      <c r="N140" s="61">
        <f t="shared" si="249"/>
        <v>1.0750457867672774</v>
      </c>
      <c r="O140" s="61" t="e">
        <f t="shared" si="250"/>
        <v>#REF!</v>
      </c>
      <c r="P140" s="61" t="e">
        <f t="shared" si="251"/>
        <v>#REF!</v>
      </c>
      <c r="Q140" s="61">
        <f t="shared" si="252"/>
        <v>0.52603117349897555</v>
      </c>
      <c r="R140" s="61">
        <f t="shared" si="253"/>
        <v>0.38612272394048075</v>
      </c>
      <c r="S140" s="83">
        <v>-0.12789785784602836</v>
      </c>
      <c r="T140" s="62">
        <v>0.81465972541993803</v>
      </c>
      <c r="U140" s="62">
        <v>0</v>
      </c>
    </row>
    <row r="141" spans="1:21" ht="16.5" x14ac:dyDescent="0.25">
      <c r="A141" s="55">
        <v>46230</v>
      </c>
      <c r="B141" s="56">
        <v>25280152.427269999</v>
      </c>
      <c r="C141" s="79">
        <v>20.419545156784491</v>
      </c>
      <c r="D141" s="58">
        <v>1238037</v>
      </c>
      <c r="E141" s="58">
        <v>-409682.17985000089</v>
      </c>
      <c r="F141" s="58">
        <v>16182750.353</v>
      </c>
      <c r="G141" s="79" t="e">
        <v>#REF!</v>
      </c>
      <c r="H141" s="58" t="e">
        <v>#REF!</v>
      </c>
      <c r="I141" s="59">
        <v>5551891.5239139982</v>
      </c>
      <c r="J141" s="79">
        <v>3.387033201567561</v>
      </c>
      <c r="K141" s="59">
        <v>20638953.427269999</v>
      </c>
      <c r="L141" s="60">
        <v>100527.1</v>
      </c>
      <c r="M141" s="60">
        <v>700.51</v>
      </c>
      <c r="N141" s="61">
        <f t="shared" ref="N141" si="254">C141/C$7-1</f>
        <v>1.0419545156784489</v>
      </c>
      <c r="O141" s="61" t="e">
        <f t="shared" ref="O141" si="255">G141/G$7-1</f>
        <v>#REF!</v>
      </c>
      <c r="P141" s="61" t="e">
        <f t="shared" ref="P141" si="256">J141/J$7-1</f>
        <v>#REF!</v>
      </c>
      <c r="Q141" s="61">
        <f t="shared" ref="Q141" si="257">L141/L$7-1</f>
        <v>0.52531075328824506</v>
      </c>
      <c r="R141" s="61">
        <f t="shared" ref="R141" si="258">M141/M$7-1</f>
        <v>0.38794555289175969</v>
      </c>
      <c r="S141" s="83">
        <v>-0.14180548754133482</v>
      </c>
      <c r="T141" s="62">
        <v>0.81640937437570649</v>
      </c>
      <c r="U141" s="62">
        <v>0</v>
      </c>
    </row>
    <row r="142" spans="1:21" ht="16.5" x14ac:dyDescent="0.25">
      <c r="A142" s="55">
        <v>46231</v>
      </c>
      <c r="B142" s="56">
        <v>24552758.96336</v>
      </c>
      <c r="C142" s="79">
        <v>19.832007414447226</v>
      </c>
      <c r="D142" s="58">
        <v>1238037</v>
      </c>
      <c r="E142" s="58">
        <v>-727393.46390999854</v>
      </c>
      <c r="F142" s="58">
        <v>16182750.353</v>
      </c>
      <c r="G142" s="79" t="e">
        <v>#REF!</v>
      </c>
      <c r="H142" s="58" t="e">
        <v>#REF!</v>
      </c>
      <c r="I142" s="59">
        <v>5551891.5239139982</v>
      </c>
      <c r="J142" s="79">
        <v>3.387033201567561</v>
      </c>
      <c r="K142" s="59">
        <v>16675761.96336</v>
      </c>
      <c r="L142" s="60">
        <v>95856.81</v>
      </c>
      <c r="M142" s="60">
        <v>653.08000000000004</v>
      </c>
      <c r="N142" s="61">
        <f t="shared" ref="N142:N143" si="259">C142/C$7-1</f>
        <v>0.98320074144472258</v>
      </c>
      <c r="O142" s="61" t="e">
        <f t="shared" ref="O142:O143" si="260">G142/G$7-1</f>
        <v>#REF!</v>
      </c>
      <c r="P142" s="61" t="e">
        <f t="shared" ref="P142:P143" si="261">J142/J$7-1</f>
        <v>#REF!</v>
      </c>
      <c r="Q142" s="61">
        <f t="shared" ref="Q142:Q143" si="262">L142/L$7-1</f>
        <v>0.45444783614476258</v>
      </c>
      <c r="R142" s="61">
        <f t="shared" ref="R142:R143" si="263">M142/M$7-1</f>
        <v>0.29397079511006341</v>
      </c>
      <c r="S142" s="83">
        <v>-0.16649857754234609</v>
      </c>
      <c r="T142" s="62">
        <v>0.67918077916397024</v>
      </c>
      <c r="U142" s="62">
        <v>0</v>
      </c>
    </row>
    <row r="143" spans="1:21" ht="16.5" x14ac:dyDescent="0.25">
      <c r="A143" s="55">
        <v>46232</v>
      </c>
      <c r="B143" s="56">
        <v>24265928.209199999</v>
      </c>
      <c r="C143" s="79">
        <v>19.600325522742857</v>
      </c>
      <c r="D143" s="58">
        <v>1238037</v>
      </c>
      <c r="E143" s="58">
        <f>B143-B142</f>
        <v>-286830.75416000187</v>
      </c>
      <c r="F143" s="58">
        <v>16182750.353</v>
      </c>
      <c r="G143" s="79" t="e">
        <v>#REF!</v>
      </c>
      <c r="H143" s="58" t="e">
        <v>#REF!</v>
      </c>
      <c r="I143" s="59">
        <v>5551891.5239139982</v>
      </c>
      <c r="J143" s="79">
        <v>3.387033201567561</v>
      </c>
      <c r="K143" s="59">
        <v>13215197.209199999</v>
      </c>
      <c r="L143" s="60">
        <v>92260.97</v>
      </c>
      <c r="M143" s="60">
        <v>619.51</v>
      </c>
      <c r="N143" s="61">
        <f t="shared" si="259"/>
        <v>0.96003255227428563</v>
      </c>
      <c r="O143" s="61" t="e">
        <f t="shared" si="260"/>
        <v>#REF!</v>
      </c>
      <c r="P143" s="61" t="e">
        <f t="shared" si="261"/>
        <v>#REF!</v>
      </c>
      <c r="Q143" s="61">
        <f t="shared" si="262"/>
        <v>0.3998876884920004</v>
      </c>
      <c r="R143" s="61">
        <f t="shared" si="263"/>
        <v>0.22745735174654746</v>
      </c>
      <c r="S143" s="83">
        <v>-0.17623572528829723</v>
      </c>
      <c r="T143" s="62">
        <v>0.54459887523237993</v>
      </c>
      <c r="U143" s="62">
        <v>0</v>
      </c>
    </row>
    <row r="144" spans="1:21" ht="16.5" x14ac:dyDescent="0.25">
      <c r="A144" s="55">
        <v>46233</v>
      </c>
      <c r="B144" s="56">
        <v>23648601.156240001</v>
      </c>
      <c r="C144" s="79">
        <v>19.101691755771437</v>
      </c>
      <c r="D144" s="58">
        <v>1238037</v>
      </c>
      <c r="E144" s="58">
        <v>-617327.05295999721</v>
      </c>
      <c r="F144" s="58">
        <v>16182750.353</v>
      </c>
      <c r="G144" s="79" t="e">
        <v>#REF!</v>
      </c>
      <c r="H144" s="58" t="e">
        <v>#REF!</v>
      </c>
      <c r="I144" s="59">
        <v>5551891.5239139982</v>
      </c>
      <c r="J144" s="79">
        <v>3.387033201567561</v>
      </c>
      <c r="K144" s="59">
        <v>22363700.085200001</v>
      </c>
      <c r="L144" s="60">
        <v>92058.06</v>
      </c>
      <c r="M144" s="60">
        <v>604.79</v>
      </c>
      <c r="N144" s="61">
        <f t="shared" ref="N144:N146" si="264">C144/C$7-1</f>
        <v>0.91016917557714372</v>
      </c>
      <c r="O144" s="61" t="e">
        <f t="shared" ref="O144:O146" si="265">G144/G$7-1</f>
        <v>#REF!</v>
      </c>
      <c r="P144" s="61" t="e">
        <f t="shared" ref="P144:P146" si="266">J144/J$7-1</f>
        <v>#REF!</v>
      </c>
      <c r="Q144" s="61">
        <f t="shared" ref="Q144:Q146" si="267">L144/L$7-1</f>
        <v>0.39680890869083507</v>
      </c>
      <c r="R144" s="61">
        <f t="shared" ref="R144:R146" si="268">M144/M$7-1</f>
        <v>0.19829208852608415</v>
      </c>
      <c r="S144" s="83">
        <v>-0.19719235087695708</v>
      </c>
      <c r="T144" s="62">
        <v>0.94566693131018609</v>
      </c>
      <c r="U144" s="62">
        <v>0</v>
      </c>
    </row>
    <row r="145" spans="1:21" ht="16.5" x14ac:dyDescent="0.25">
      <c r="A145" s="55">
        <v>46234</v>
      </c>
      <c r="B145" s="56">
        <v>25164094.618440002</v>
      </c>
      <c r="C145" s="79">
        <v>20.32580174779914</v>
      </c>
      <c r="D145" s="58">
        <v>1238037</v>
      </c>
      <c r="E145" s="58">
        <v>1515493.4622000009</v>
      </c>
      <c r="F145" s="58">
        <v>16182750.353</v>
      </c>
      <c r="G145" s="79" t="e">
        <v>#REF!</v>
      </c>
      <c r="H145" s="58" t="e">
        <v>#REF!</v>
      </c>
      <c r="I145" s="59">
        <v>5551891.5239139982</v>
      </c>
      <c r="J145" s="79">
        <v>3.387033201567561</v>
      </c>
      <c r="K145" s="59">
        <v>26513635.1074</v>
      </c>
      <c r="L145" s="60">
        <v>99542.380277999997</v>
      </c>
      <c r="M145" s="60">
        <v>645.61332499999992</v>
      </c>
      <c r="N145" s="61">
        <f t="shared" si="264"/>
        <v>1.0325801747799139</v>
      </c>
      <c r="O145" s="61" t="e">
        <f t="shared" si="265"/>
        <v>#REF!</v>
      </c>
      <c r="P145" s="61" t="e">
        <f t="shared" si="266"/>
        <v>#REF!</v>
      </c>
      <c r="Q145" s="61">
        <f t="shared" si="267"/>
        <v>0.51036947296739998</v>
      </c>
      <c r="R145" s="61">
        <f t="shared" si="268"/>
        <v>0.27917680450159477</v>
      </c>
      <c r="S145" s="83">
        <v>-0.14574534411270734</v>
      </c>
      <c r="T145" s="62">
        <v>1.053629606366647</v>
      </c>
      <c r="U145" s="62">
        <v>0</v>
      </c>
    </row>
    <row r="146" spans="1:21" ht="16.5" x14ac:dyDescent="0.25">
      <c r="A146" s="55">
        <v>46237</v>
      </c>
      <c r="B146" s="56">
        <v>25354737.654850002</v>
      </c>
      <c r="C146" s="79">
        <v>20.479789905188618</v>
      </c>
      <c r="D146" s="58">
        <v>1238037</v>
      </c>
      <c r="E146" s="58">
        <v>190643.03641000018</v>
      </c>
      <c r="F146" s="58">
        <v>16182750.353</v>
      </c>
      <c r="G146" s="79" t="e">
        <v>#REF!</v>
      </c>
      <c r="H146" s="58" t="e">
        <v>#REF!</v>
      </c>
      <c r="I146" s="59">
        <v>5551891.5239139982</v>
      </c>
      <c r="J146" s="79">
        <v>3.387033201567561</v>
      </c>
      <c r="K146" s="59">
        <v>26634766.289310001</v>
      </c>
      <c r="L146" s="60">
        <v>100027.02</v>
      </c>
      <c r="M146" s="60">
        <v>672.95</v>
      </c>
      <c r="N146" s="61">
        <f t="shared" si="264"/>
        <v>1.0479789905188617</v>
      </c>
      <c r="O146" s="61" t="e">
        <f t="shared" si="265"/>
        <v>#REF!</v>
      </c>
      <c r="P146" s="61" t="e">
        <f t="shared" si="266"/>
        <v>#REF!</v>
      </c>
      <c r="Q146" s="61">
        <f t="shared" si="267"/>
        <v>0.51772297445542903</v>
      </c>
      <c r="R146" s="61">
        <f t="shared" si="268"/>
        <v>0.33333993778605553</v>
      </c>
      <c r="S146" s="83">
        <v>-0.1392735157423598</v>
      </c>
      <c r="T146" s="62">
        <v>1.0504847911220705</v>
      </c>
      <c r="U146" s="62">
        <v>0</v>
      </c>
    </row>
    <row r="147" spans="1:21" ht="16.5" x14ac:dyDescent="0.25">
      <c r="A147" s="55">
        <v>46238</v>
      </c>
      <c r="B147" s="56">
        <v>25580823.192980003</v>
      </c>
      <c r="C147" s="79">
        <v>20.662406045198974</v>
      </c>
      <c r="D147" s="58">
        <v>1238037</v>
      </c>
      <c r="E147" s="58">
        <v>226085.53813000023</v>
      </c>
      <c r="F147" s="58">
        <v>16182750.353</v>
      </c>
      <c r="G147" s="79" t="e">
        <v>#REF!</v>
      </c>
      <c r="H147" s="58" t="e">
        <v>#REF!</v>
      </c>
      <c r="I147" s="59">
        <v>5551891.5239139982</v>
      </c>
      <c r="J147" s="79">
        <v>3.387033201567561</v>
      </c>
      <c r="K147" s="59">
        <v>26860851.827440001</v>
      </c>
      <c r="L147" s="60">
        <v>99978.9</v>
      </c>
      <c r="M147" s="60">
        <v>695.58</v>
      </c>
      <c r="N147" s="61">
        <f t="shared" ref="N147" si="269">C147/C$7-1</f>
        <v>1.0662406045198973</v>
      </c>
      <c r="O147" s="61" t="e">
        <f t="shared" ref="O147" si="270">G147/G$7-1</f>
        <v>#REF!</v>
      </c>
      <c r="P147" s="61" t="e">
        <f t="shared" ref="P147" si="271">J147/J$7-1</f>
        <v>#REF!</v>
      </c>
      <c r="Q147" s="61">
        <f t="shared" ref="Q147" si="272">L147/L$7-1</f>
        <v>0.51699284344152074</v>
      </c>
      <c r="R147" s="61">
        <f t="shared" ref="R147" si="273">M147/M$7-1</f>
        <v>0.37817756731588448</v>
      </c>
      <c r="S147" s="83">
        <v>-0.1315985078986518</v>
      </c>
      <c r="T147" s="62">
        <v>1.0500386021514456</v>
      </c>
      <c r="U147" s="62">
        <v>0</v>
      </c>
    </row>
    <row r="148" spans="1:21" ht="16.5" x14ac:dyDescent="0.25">
      <c r="A148" s="55">
        <v>46239</v>
      </c>
      <c r="B148" s="56">
        <v>25673519.212230001</v>
      </c>
      <c r="C148" s="79">
        <v>20.737279428829673</v>
      </c>
      <c r="D148" s="58">
        <v>1238037</v>
      </c>
      <c r="E148" s="58">
        <v>92696.019249998033</v>
      </c>
      <c r="F148" s="58">
        <v>16182750.353</v>
      </c>
      <c r="G148" s="79" t="e">
        <v>#REF!</v>
      </c>
      <c r="H148" s="58" t="e">
        <v>#REF!</v>
      </c>
      <c r="I148" s="59">
        <v>5551891.5239139982</v>
      </c>
      <c r="J148" s="79">
        <v>3.387033201567561</v>
      </c>
      <c r="K148" s="59">
        <v>29168717.212230001</v>
      </c>
      <c r="L148" s="60">
        <v>102873.02</v>
      </c>
      <c r="M148" s="60">
        <v>711.87</v>
      </c>
      <c r="N148" s="61">
        <f t="shared" ref="N148" si="274">C148/C$7-1</f>
        <v>1.0737279428829671</v>
      </c>
      <c r="O148" s="61" t="e">
        <f t="shared" ref="O148" si="275">G148/G$7-1</f>
        <v>#REF!</v>
      </c>
      <c r="P148" s="61" t="e">
        <f t="shared" ref="P148" si="276">J148/J$7-1</f>
        <v>#REF!</v>
      </c>
      <c r="Q148" s="61">
        <f t="shared" ref="Q148" si="277">L148/L$7-1</f>
        <v>0.56090570233535719</v>
      </c>
      <c r="R148" s="61">
        <f t="shared" ref="R148" si="278">M148/M$7-1</f>
        <v>0.41045352776842159</v>
      </c>
      <c r="S148" s="83">
        <v>-0.12845172247969594</v>
      </c>
      <c r="T148" s="62">
        <v>1.1361401984319706</v>
      </c>
      <c r="U148" s="62">
        <v>0</v>
      </c>
    </row>
    <row r="149" spans="1:21" ht="16.5" x14ac:dyDescent="0.25">
      <c r="A149" s="55">
        <v>46240</v>
      </c>
      <c r="B149" s="56">
        <v>25785354.522500001</v>
      </c>
      <c r="C149" s="79">
        <v>20.827612197777611</v>
      </c>
      <c r="D149" s="58">
        <v>1238037</v>
      </c>
      <c r="E149" s="58">
        <v>111835.31027000025</v>
      </c>
      <c r="F149" s="58">
        <v>16182750.353</v>
      </c>
      <c r="G149" s="79" t="e">
        <v>#REF!</v>
      </c>
      <c r="H149" s="58" t="e">
        <v>#REF!</v>
      </c>
      <c r="I149" s="59">
        <v>5551891.5239139982</v>
      </c>
      <c r="J149" s="79">
        <v>3.387033201567561</v>
      </c>
      <c r="K149" s="59">
        <v>35165716.522500001</v>
      </c>
      <c r="L149" s="60">
        <v>102381.13</v>
      </c>
      <c r="M149" s="60">
        <v>726.13</v>
      </c>
      <c r="N149" s="61">
        <f t="shared" ref="N149" si="279">C149/C$7-1</f>
        <v>1.082761219777761</v>
      </c>
      <c r="O149" s="61" t="e">
        <f t="shared" ref="O149" si="280">G149/G$7-1</f>
        <v>#REF!</v>
      </c>
      <c r="P149" s="61" t="e">
        <f t="shared" ref="P149" si="281">J149/J$7-1</f>
        <v>#REF!</v>
      </c>
      <c r="Q149" s="61">
        <f t="shared" ref="Q149" si="282">L149/L$7-1</f>
        <v>0.55344219143695317</v>
      </c>
      <c r="R149" s="61">
        <f t="shared" ref="R149" si="283">M149/M$7-1</f>
        <v>0.43870737651324521</v>
      </c>
      <c r="S149" s="83">
        <v>-0.12465520859992629</v>
      </c>
      <c r="T149" s="62">
        <v>1.3637864273618889</v>
      </c>
      <c r="U149" s="62">
        <v>0</v>
      </c>
    </row>
    <row r="150" spans="1:21" ht="16.5" x14ac:dyDescent="0.25">
      <c r="A150" s="55">
        <v>46241</v>
      </c>
      <c r="B150" s="56">
        <v>24395962.413060002</v>
      </c>
      <c r="C150" s="79">
        <v>19.705358089507829</v>
      </c>
      <c r="D150" s="58">
        <v>1238037</v>
      </c>
      <c r="E150" s="58">
        <v>-1389392.1094399989</v>
      </c>
      <c r="F150" s="58">
        <v>16182750.353</v>
      </c>
      <c r="G150" s="79" t="e">
        <v>#REF!</v>
      </c>
      <c r="H150" s="58" t="e">
        <v>#REF!</v>
      </c>
      <c r="I150" s="59">
        <v>5551891.5239139982</v>
      </c>
      <c r="J150" s="79">
        <v>3.387033201567561</v>
      </c>
      <c r="K150" s="59">
        <v>24905312.83306</v>
      </c>
      <c r="L150" s="60">
        <v>101989.71</v>
      </c>
      <c r="M150" s="60">
        <v>712.8</v>
      </c>
      <c r="N150" s="61">
        <f t="shared" ref="N150" si="284">C150/C$7-1</f>
        <v>0.97053580895078295</v>
      </c>
      <c r="O150" s="61" t="e">
        <f t="shared" ref="O150" si="285">G150/G$7-1</f>
        <v>#REF!</v>
      </c>
      <c r="P150" s="61" t="e">
        <f t="shared" ref="P150" si="286">J150/J$7-1</f>
        <v>#REF!</v>
      </c>
      <c r="Q150" s="61">
        <f t="shared" ref="Q150" si="287">L150/L$7-1</f>
        <v>0.54750312490611641</v>
      </c>
      <c r="R150" s="61">
        <f t="shared" ref="R150" si="288">M150/M$7-1</f>
        <v>0.41229617007786645</v>
      </c>
      <c r="S150" s="83">
        <v>-0.1718214069606826</v>
      </c>
      <c r="T150" s="62">
        <v>1.020878472075663</v>
      </c>
      <c r="U150" s="62">
        <v>0</v>
      </c>
    </row>
    <row r="151" spans="1:21" ht="16.5" x14ac:dyDescent="0.25">
      <c r="A151" s="55">
        <v>46244</v>
      </c>
      <c r="B151" s="56">
        <v>24974869.07034</v>
      </c>
      <c r="C151" s="79">
        <v>20.172958538670493</v>
      </c>
      <c r="D151" s="58">
        <v>1238037</v>
      </c>
      <c r="E151" s="58">
        <v>578906.65727999806</v>
      </c>
      <c r="F151" s="58">
        <v>16182750.353</v>
      </c>
      <c r="G151" s="79" t="e">
        <v>#REF!</v>
      </c>
      <c r="H151" s="58" t="e">
        <v>#REF!</v>
      </c>
      <c r="I151" s="59">
        <v>5551891.5239139982</v>
      </c>
      <c r="J151" s="79">
        <v>3.387033201567561</v>
      </c>
      <c r="K151" s="59">
        <v>30720773.382339999</v>
      </c>
      <c r="L151" s="60">
        <v>103618.12</v>
      </c>
      <c r="M151" s="60">
        <v>726.61</v>
      </c>
      <c r="N151" s="61">
        <f t="shared" ref="N151:N154" si="289">C151/C$7-1</f>
        <v>1.0172958538670493</v>
      </c>
      <c r="O151" s="61" t="e">
        <f t="shared" ref="O151:O154" si="290">G151/G$7-1</f>
        <v>#REF!</v>
      </c>
      <c r="P151" s="61" t="e">
        <f t="shared" ref="P151:P154" si="291">J151/J$7-1</f>
        <v>#REF!</v>
      </c>
      <c r="Q151" s="61">
        <f t="shared" ref="Q151:Q154" si="292">L151/L$7-1</f>
        <v>0.57221120147215787</v>
      </c>
      <c r="R151" s="61">
        <f t="shared" ref="R151:R154" si="293">M151/M$7-1</f>
        <v>0.43965841770521696</v>
      </c>
      <c r="S151" s="83">
        <v>-0.15216905249277357</v>
      </c>
      <c r="T151" s="62">
        <v>1.2300674448309241</v>
      </c>
      <c r="U151" s="62">
        <v>0</v>
      </c>
    </row>
    <row r="152" spans="1:21" ht="16.5" x14ac:dyDescent="0.25">
      <c r="A152" s="55">
        <v>46245</v>
      </c>
      <c r="B152" s="56">
        <v>25707642.203120001</v>
      </c>
      <c r="C152" s="79">
        <v>20.764841602569231</v>
      </c>
      <c r="D152" s="58">
        <v>1238037</v>
      </c>
      <c r="E152" s="58">
        <v>732773.13278000057</v>
      </c>
      <c r="F152" s="58">
        <v>16182750.353</v>
      </c>
      <c r="G152" s="79" t="e">
        <v>#REF!</v>
      </c>
      <c r="H152" s="58" t="e">
        <v>#REF!</v>
      </c>
      <c r="I152" s="59">
        <v>5551891.5239139982</v>
      </c>
      <c r="J152" s="79">
        <v>3.387033201567561</v>
      </c>
      <c r="K152" s="59">
        <v>37721650.203120001</v>
      </c>
      <c r="L152" s="60">
        <v>104083.65</v>
      </c>
      <c r="M152" s="60">
        <v>726.76</v>
      </c>
      <c r="N152" s="61">
        <f t="shared" si="289"/>
        <v>1.0764841602569231</v>
      </c>
      <c r="O152" s="61" t="e">
        <f t="shared" si="290"/>
        <v>#REF!</v>
      </c>
      <c r="P152" s="61" t="e">
        <f t="shared" si="291"/>
        <v>#REF!</v>
      </c>
      <c r="Q152" s="61">
        <f t="shared" si="292"/>
        <v>0.57927474866468875</v>
      </c>
      <c r="R152" s="61">
        <f t="shared" si="293"/>
        <v>0.439955618077708</v>
      </c>
      <c r="S152" s="83">
        <v>-0.12729333691953271</v>
      </c>
      <c r="T152" s="62">
        <v>1.467332161583528</v>
      </c>
      <c r="U152" s="62">
        <v>0</v>
      </c>
    </row>
    <row r="153" spans="1:21" ht="16.5" x14ac:dyDescent="0.25">
      <c r="A153" s="55">
        <v>46246</v>
      </c>
      <c r="B153" s="56">
        <v>26285271.991999999</v>
      </c>
      <c r="C153" s="79">
        <v>21.231410686433442</v>
      </c>
      <c r="D153" s="58">
        <v>1238037</v>
      </c>
      <c r="E153" s="58">
        <v>577629.78887999803</v>
      </c>
      <c r="F153" s="58">
        <v>16182750.353</v>
      </c>
      <c r="G153" s="79" t="e">
        <v>#REF!</v>
      </c>
      <c r="H153" s="58" t="e">
        <v>#REF!</v>
      </c>
      <c r="I153" s="59">
        <v>5551891.5239139982</v>
      </c>
      <c r="J153" s="79">
        <v>3.387033201567561</v>
      </c>
      <c r="K153" s="59">
        <v>40737269.991999999</v>
      </c>
      <c r="L153" s="60">
        <v>104999.58611999999</v>
      </c>
      <c r="M153" s="60">
        <v>745.94646399999999</v>
      </c>
      <c r="N153" s="61">
        <f t="shared" si="289"/>
        <v>1.1231410686433443</v>
      </c>
      <c r="O153" s="61" t="e">
        <f t="shared" si="290"/>
        <v>#REF!</v>
      </c>
      <c r="P153" s="61" t="e">
        <f t="shared" si="291"/>
        <v>#REF!</v>
      </c>
      <c r="Q153" s="61">
        <f t="shared" si="292"/>
        <v>0.59317236645293803</v>
      </c>
      <c r="R153" s="61">
        <f t="shared" si="293"/>
        <v>0.47797044639495945</v>
      </c>
      <c r="S153" s="83">
        <v>-0.10768432876676803</v>
      </c>
      <c r="T153" s="62">
        <v>1.5498135231166148</v>
      </c>
      <c r="U153" s="62">
        <v>0</v>
      </c>
    </row>
    <row r="154" spans="1:21" ht="16.5" x14ac:dyDescent="0.25">
      <c r="A154" s="55">
        <v>46247</v>
      </c>
      <c r="B154" s="56">
        <v>27183011.289679997</v>
      </c>
      <c r="C154" s="79">
        <v>21.956541920540335</v>
      </c>
      <c r="D154" s="58">
        <v>1238037</v>
      </c>
      <c r="E154" s="58">
        <v>897739.29767999798</v>
      </c>
      <c r="F154" s="58">
        <v>16182750.353</v>
      </c>
      <c r="G154" s="79" t="e">
        <v>#REF!</v>
      </c>
      <c r="H154" s="58" t="e">
        <v>#REF!</v>
      </c>
      <c r="I154" s="59">
        <v>5551891.5239139982</v>
      </c>
      <c r="J154" s="79">
        <v>3.387033201567561</v>
      </c>
      <c r="K154" s="59">
        <v>42614707.289679997</v>
      </c>
      <c r="L154" s="60">
        <v>106198.72</v>
      </c>
      <c r="M154" s="60">
        <v>753.59</v>
      </c>
      <c r="N154" s="61">
        <f t="shared" si="289"/>
        <v>1.1956541920540333</v>
      </c>
      <c r="O154" s="61" t="e">
        <f t="shared" si="290"/>
        <v>#REF!</v>
      </c>
      <c r="P154" s="61" t="e">
        <f t="shared" si="291"/>
        <v>#REF!</v>
      </c>
      <c r="Q154" s="61">
        <f t="shared" si="292"/>
        <v>0.61136698065941819</v>
      </c>
      <c r="R154" s="61">
        <f t="shared" si="293"/>
        <v>0.49311485803728883</v>
      </c>
      <c r="S154" s="83">
        <v>-7.7208446902369499E-2</v>
      </c>
      <c r="T154" s="62">
        <v>1.5676963392888936</v>
      </c>
      <c r="U154" s="62">
        <v>0</v>
      </c>
    </row>
    <row r="155" spans="1:21" ht="16.5" x14ac:dyDescent="0.25">
      <c r="A155" s="55">
        <v>46248</v>
      </c>
      <c r="B155" s="56">
        <v>26522141.640990004</v>
      </c>
      <c r="C155" s="79">
        <v>21.422737479566447</v>
      </c>
      <c r="D155" s="58">
        <v>1238037</v>
      </c>
      <c r="E155" s="58">
        <v>-660869.64868999273</v>
      </c>
      <c r="F155" s="58">
        <v>16182750.353</v>
      </c>
      <c r="G155" s="79" t="e">
        <v>#REF!</v>
      </c>
      <c r="H155" s="58" t="e">
        <v>#REF!</v>
      </c>
      <c r="I155" s="59">
        <v>5551891.5239139982</v>
      </c>
      <c r="J155" s="79">
        <v>3.387033201567561</v>
      </c>
      <c r="K155" s="59">
        <v>40750893.175300002</v>
      </c>
      <c r="L155" s="60">
        <v>105713.04</v>
      </c>
      <c r="M155" s="60">
        <v>744.02</v>
      </c>
      <c r="N155" s="61">
        <f t="shared" ref="N155:N156" si="294">C155/C$7-1</f>
        <v>1.1422737479566445</v>
      </c>
      <c r="O155" s="61" t="e">
        <f t="shared" ref="O155:O156" si="295">G155/G$7-1</f>
        <v>#REF!</v>
      </c>
      <c r="P155" s="61" t="e">
        <f t="shared" ref="P155:P156" si="296">J155/J$7-1</f>
        <v>#REF!</v>
      </c>
      <c r="Q155" s="61">
        <f t="shared" ref="Q155:Q156" si="297">L155/L$7-1</f>
        <v>0.60399769489809585</v>
      </c>
      <c r="R155" s="61">
        <f t="shared" ref="R155:R156" si="298">M155/M$7-1</f>
        <v>0.47415347427235455</v>
      </c>
      <c r="S155" s="83">
        <v>-9.9643228796502337E-2</v>
      </c>
      <c r="T155" s="62">
        <v>1.5364857682653894</v>
      </c>
      <c r="U155" s="62">
        <v>0</v>
      </c>
    </row>
    <row r="156" spans="1:21" ht="16.5" x14ac:dyDescent="0.25">
      <c r="A156" s="55">
        <v>46251</v>
      </c>
      <c r="B156" s="56">
        <v>27094526.060790002</v>
      </c>
      <c r="C156" s="79">
        <v>21.885069719879134</v>
      </c>
      <c r="D156" s="58">
        <v>1238037</v>
      </c>
      <c r="E156" s="58">
        <v>572384.4197999984</v>
      </c>
      <c r="F156" s="58">
        <v>16182750.353</v>
      </c>
      <c r="G156" s="79" t="e">
        <v>#REF!</v>
      </c>
      <c r="H156" s="58" t="e">
        <v>#REF!</v>
      </c>
      <c r="I156" s="59">
        <v>5551891.5239139982</v>
      </c>
      <c r="J156" s="79">
        <v>3.387033201567561</v>
      </c>
      <c r="K156" s="59">
        <v>45683021.832000002</v>
      </c>
      <c r="L156" s="60">
        <v>105822.22</v>
      </c>
      <c r="M156" s="60">
        <v>739.27</v>
      </c>
      <c r="N156" s="61">
        <f t="shared" si="294"/>
        <v>1.1885069719879136</v>
      </c>
      <c r="O156" s="61" t="e">
        <f t="shared" si="295"/>
        <v>#REF!</v>
      </c>
      <c r="P156" s="61" t="e">
        <f t="shared" si="296"/>
        <v>#REF!</v>
      </c>
      <c r="Q156" s="61">
        <f t="shared" si="297"/>
        <v>0.60565429722765685</v>
      </c>
      <c r="R156" s="61">
        <f t="shared" si="298"/>
        <v>0.46474212914346857</v>
      </c>
      <c r="S156" s="83">
        <v>-8.0212287092238266E-2</v>
      </c>
      <c r="T156" s="62">
        <v>1.686060930887086</v>
      </c>
      <c r="U156" s="62">
        <v>0</v>
      </c>
    </row>
    <row r="157" spans="1:21" ht="16.5" x14ac:dyDescent="0.25">
      <c r="A157" s="55">
        <v>46252</v>
      </c>
      <c r="B157" s="56">
        <v>26126950.433990002</v>
      </c>
      <c r="C157" s="79">
        <v>21.103529566555768</v>
      </c>
      <c r="D157" s="58">
        <v>1238037</v>
      </c>
      <c r="E157" s="58">
        <v>-967575.62680000067</v>
      </c>
      <c r="F157" s="58">
        <v>16182750.353</v>
      </c>
      <c r="G157" s="79" t="e">
        <v>#REF!</v>
      </c>
      <c r="H157" s="58" t="e">
        <v>#REF!</v>
      </c>
      <c r="I157" s="59">
        <v>5551891.5239139982</v>
      </c>
      <c r="J157" s="79">
        <v>3.387033201567561</v>
      </c>
      <c r="K157" s="59">
        <v>31326233.026000001</v>
      </c>
      <c r="L157" s="60">
        <v>104556.78</v>
      </c>
      <c r="M157" s="60">
        <v>725.38</v>
      </c>
      <c r="N157" s="61">
        <f t="shared" ref="N157:N162" si="299">C157/C$7-1</f>
        <v>1.1103529566555768</v>
      </c>
      <c r="O157" s="61" t="e">
        <f t="shared" ref="O157:O162" si="300">G157/G$7-1</f>
        <v>#REF!</v>
      </c>
      <c r="P157" s="61" t="e">
        <f t="shared" ref="P157:P162" si="301">J157/J$7-1</f>
        <v>#REF!</v>
      </c>
      <c r="Q157" s="61">
        <f t="shared" ref="Q157:Q162" si="302">L157/L$7-1</f>
        <v>0.58645361164495258</v>
      </c>
      <c r="R157" s="61">
        <f t="shared" ref="R157:R162" si="303">M157/M$7-1</f>
        <v>0.43722137465078958</v>
      </c>
      <c r="S157" s="83">
        <v>-0.11305892817549312</v>
      </c>
      <c r="T157" s="62">
        <v>1.1990007446581274</v>
      </c>
      <c r="U157" s="62">
        <v>0</v>
      </c>
    </row>
    <row r="158" spans="1:21" ht="16.5" x14ac:dyDescent="0.25">
      <c r="A158" s="55">
        <v>46253</v>
      </c>
      <c r="B158" s="56">
        <v>24415947.16</v>
      </c>
      <c r="C158" s="79">
        <v>19.721500375190725</v>
      </c>
      <c r="D158" s="58">
        <v>1238037</v>
      </c>
      <c r="E158" s="58">
        <v>-1711003.2739900015</v>
      </c>
      <c r="F158" s="58">
        <v>16182750.353</v>
      </c>
      <c r="G158" s="79" t="e">
        <v>#REF!</v>
      </c>
      <c r="H158" s="58" t="e">
        <v>#REF!</v>
      </c>
      <c r="I158" s="59">
        <v>5551891.5239139982</v>
      </c>
      <c r="J158" s="79">
        <v>3.387033201567561</v>
      </c>
      <c r="K158" s="59">
        <v>7309576</v>
      </c>
      <c r="L158" s="60">
        <v>103207.65</v>
      </c>
      <c r="M158" s="60">
        <v>714.18</v>
      </c>
      <c r="N158" s="61">
        <f t="shared" si="299"/>
        <v>0.97215003751907259</v>
      </c>
      <c r="O158" s="61" t="e">
        <f t="shared" si="300"/>
        <v>#REF!</v>
      </c>
      <c r="P158" s="61" t="e">
        <f t="shared" si="301"/>
        <v>#REF!</v>
      </c>
      <c r="Q158" s="61">
        <f t="shared" si="302"/>
        <v>0.5659830868154907</v>
      </c>
      <c r="R158" s="61">
        <f t="shared" si="303"/>
        <v>0.41503041350478487</v>
      </c>
      <c r="S158" s="83">
        <v>-0.17114297750080809</v>
      </c>
      <c r="T158" s="62">
        <v>0.29937712234138042</v>
      </c>
      <c r="U158" s="62">
        <v>0</v>
      </c>
    </row>
    <row r="159" spans="1:21" ht="16.5" x14ac:dyDescent="0.25">
      <c r="A159" s="55">
        <v>46254</v>
      </c>
      <c r="B159" s="56">
        <v>24416659</v>
      </c>
      <c r="C159" s="79">
        <v>19.722075349928961</v>
      </c>
      <c r="D159" s="58">
        <v>1238037</v>
      </c>
      <c r="E159" s="58">
        <v>711.83999999985099</v>
      </c>
      <c r="F159" s="58">
        <v>16182750.353</v>
      </c>
      <c r="G159" s="79" t="e">
        <v>#REF!</v>
      </c>
      <c r="H159" s="58" t="e">
        <v>#REF!</v>
      </c>
      <c r="I159" s="59">
        <v>5551891.5239139982</v>
      </c>
      <c r="J159" s="79">
        <v>3.387033201567561</v>
      </c>
      <c r="K159" s="59">
        <v>16593176</v>
      </c>
      <c r="L159" s="60">
        <v>103710.33</v>
      </c>
      <c r="M159" s="60">
        <v>723.83</v>
      </c>
      <c r="N159" s="61">
        <f t="shared" si="299"/>
        <v>0.97220753499289603</v>
      </c>
      <c r="O159" s="61" t="e">
        <f t="shared" si="300"/>
        <v>#REF!</v>
      </c>
      <c r="P159" s="61" t="e">
        <f t="shared" si="301"/>
        <v>#REF!</v>
      </c>
      <c r="Q159" s="61">
        <f t="shared" si="302"/>
        <v>0.57361031578621557</v>
      </c>
      <c r="R159" s="61">
        <f t="shared" si="303"/>
        <v>0.43415030413504807</v>
      </c>
      <c r="S159" s="83">
        <v>-0.17111881240989313</v>
      </c>
      <c r="T159" s="62">
        <v>0.67958421338480424</v>
      </c>
      <c r="U159" s="62">
        <v>0</v>
      </c>
    </row>
    <row r="160" spans="1:21" ht="16.5" x14ac:dyDescent="0.25">
      <c r="A160" s="55">
        <v>46255</v>
      </c>
      <c r="B160" s="56">
        <v>24787659</v>
      </c>
      <c r="C160" s="79">
        <v>20.021743292001773</v>
      </c>
      <c r="D160" s="58">
        <v>1238037</v>
      </c>
      <c r="E160" s="58">
        <v>371000</v>
      </c>
      <c r="F160" s="58">
        <v>16182750.353</v>
      </c>
      <c r="G160" s="79" t="e">
        <v>#REF!</v>
      </c>
      <c r="H160" s="58" t="e">
        <v>#REF!</v>
      </c>
      <c r="I160" s="59">
        <v>5551891.5239139982</v>
      </c>
      <c r="J160" s="79">
        <v>3.387033201567561</v>
      </c>
      <c r="K160" s="59">
        <v>24237648</v>
      </c>
      <c r="L160" s="60">
        <v>104381.91</v>
      </c>
      <c r="M160" s="60">
        <v>718.87</v>
      </c>
      <c r="N160" s="61">
        <f t="shared" si="299"/>
        <v>1.0021743292001775</v>
      </c>
      <c r="O160" s="61" t="e">
        <f t="shared" si="300"/>
        <v>#REF!</v>
      </c>
      <c r="P160" s="61" t="e">
        <f t="shared" si="301"/>
        <v>#REF!</v>
      </c>
      <c r="Q160" s="61">
        <f t="shared" si="302"/>
        <v>0.58380028640800141</v>
      </c>
      <c r="R160" s="61">
        <f t="shared" si="303"/>
        <v>0.42432287848467443</v>
      </c>
      <c r="S160" s="83">
        <v>-0.1585243407175978</v>
      </c>
      <c r="T160" s="62">
        <v>0.97781109543261024</v>
      </c>
      <c r="U160" s="62">
        <v>0</v>
      </c>
    </row>
    <row r="161" spans="1:21" ht="16.5" x14ac:dyDescent="0.25">
      <c r="A161" s="55">
        <v>46258</v>
      </c>
      <c r="B161" s="56">
        <v>24306317</v>
      </c>
      <c r="C161" s="79">
        <v>19.632948772936512</v>
      </c>
      <c r="D161" s="58">
        <v>1238037</v>
      </c>
      <c r="E161" s="58">
        <v>-481342</v>
      </c>
      <c r="F161" s="58">
        <v>16182750.353</v>
      </c>
      <c r="G161" s="79" t="e">
        <v>#REF!</v>
      </c>
      <c r="H161" s="58" t="e">
        <v>#REF!</v>
      </c>
      <c r="I161" s="59">
        <v>5551891.5239139982</v>
      </c>
      <c r="J161" s="79">
        <v>3.387033201567561</v>
      </c>
      <c r="K161" s="59">
        <v>33950976</v>
      </c>
      <c r="L161" s="60">
        <v>103317.21451800001</v>
      </c>
      <c r="M161" s="60">
        <v>716.71339</v>
      </c>
      <c r="N161" s="61">
        <f t="shared" si="299"/>
        <v>0.96329487729365115</v>
      </c>
      <c r="O161" s="61" t="e">
        <f t="shared" si="300"/>
        <v>#REF!</v>
      </c>
      <c r="P161" s="61" t="e">
        <f t="shared" si="301"/>
        <v>#REF!</v>
      </c>
      <c r="Q161" s="61">
        <f t="shared" si="302"/>
        <v>0.56764552348663977</v>
      </c>
      <c r="R161" s="61">
        <f t="shared" si="303"/>
        <v>0.4200499098492203</v>
      </c>
      <c r="S161" s="83">
        <v>-0.17486463234377791</v>
      </c>
      <c r="T161" s="62">
        <v>1.396796396591059</v>
      </c>
      <c r="U161" s="62">
        <v>0</v>
      </c>
    </row>
    <row r="162" spans="1:21" ht="16.5" x14ac:dyDescent="0.25">
      <c r="A162" s="55">
        <v>46259</v>
      </c>
      <c r="B162" s="56">
        <v>24699019</v>
      </c>
      <c r="C162" s="79">
        <v>19.950146078025131</v>
      </c>
      <c r="D162" s="58">
        <v>1238037</v>
      </c>
      <c r="E162" s="58">
        <v>392702</v>
      </c>
      <c r="F162" s="58">
        <v>16182750.353</v>
      </c>
      <c r="G162" s="79" t="e">
        <v>#REF!</v>
      </c>
      <c r="H162" s="58" t="e">
        <v>#REF!</v>
      </c>
      <c r="I162" s="59">
        <v>5551891.5239139982</v>
      </c>
      <c r="J162" s="79">
        <v>3.387033201567561</v>
      </c>
      <c r="K162" s="59">
        <v>41916776</v>
      </c>
      <c r="L162" s="60">
        <v>104260.07</v>
      </c>
      <c r="M162" s="60">
        <v>723.01</v>
      </c>
      <c r="N162" s="61">
        <f t="shared" si="299"/>
        <v>0.99501460780251305</v>
      </c>
      <c r="O162" s="61" t="e">
        <f t="shared" si="300"/>
        <v>#REF!</v>
      </c>
      <c r="P162" s="61" t="e">
        <f t="shared" si="301"/>
        <v>#REF!</v>
      </c>
      <c r="Q162" s="61">
        <f t="shared" si="302"/>
        <v>0.58195159225308557</v>
      </c>
      <c r="R162" s="61">
        <f t="shared" si="303"/>
        <v>0.43252560876542967</v>
      </c>
      <c r="S162" s="83">
        <v>-0.1615334349785279</v>
      </c>
      <c r="T162" s="62">
        <v>1.6971028687414671</v>
      </c>
      <c r="U162" s="62">
        <v>0</v>
      </c>
    </row>
    <row r="163" spans="1:21" ht="16.5" x14ac:dyDescent="0.25">
      <c r="A163" s="55">
        <v>46260</v>
      </c>
      <c r="B163" s="56">
        <v>23661385</v>
      </c>
      <c r="C163" s="79">
        <v>19.112017653753483</v>
      </c>
      <c r="D163" s="58">
        <v>1238037</v>
      </c>
      <c r="E163" s="58">
        <v>-1037634</v>
      </c>
      <c r="F163" s="58">
        <v>16182750.353</v>
      </c>
      <c r="G163" s="79" t="e">
        <v>#REF!</v>
      </c>
      <c r="H163" s="58" t="e">
        <v>#REF!</v>
      </c>
      <c r="I163" s="59">
        <v>5551891.5239139982</v>
      </c>
      <c r="J163" s="79">
        <v>3.387033201567561</v>
      </c>
      <c r="K163" s="59">
        <v>31244276</v>
      </c>
      <c r="L163" s="60">
        <v>105792.08</v>
      </c>
      <c r="M163" s="60">
        <v>734.62</v>
      </c>
      <c r="N163" s="61">
        <f t="shared" ref="N163" si="304">C163/C$7-1</f>
        <v>0.91120176537534836</v>
      </c>
      <c r="O163" s="61" t="e">
        <f t="shared" ref="O163" si="305">G163/G$7-1</f>
        <v>#REF!</v>
      </c>
      <c r="P163" s="61" t="e">
        <f t="shared" ref="P163" si="306">J163/J$7-1</f>
        <v>#REF!</v>
      </c>
      <c r="Q163" s="61">
        <f t="shared" ref="Q163" si="307">L163/L$7-1</f>
        <v>0.60519697909051673</v>
      </c>
      <c r="R163" s="61">
        <f t="shared" ref="R163" si="308">M163/M$7-1</f>
        <v>0.45552891759624337</v>
      </c>
      <c r="S163" s="83">
        <v>-0.19675837309163624</v>
      </c>
      <c r="T163" s="62">
        <v>1.3204753652417218</v>
      </c>
      <c r="U163" s="62">
        <v>0</v>
      </c>
    </row>
    <row r="164" spans="1:21" ht="16.5" x14ac:dyDescent="0.25">
      <c r="A164" s="55">
        <v>46261</v>
      </c>
      <c r="B164" s="56">
        <v>23492517</v>
      </c>
      <c r="C164" s="79">
        <v>18.975617853101323</v>
      </c>
      <c r="D164" s="58">
        <v>1238037</v>
      </c>
      <c r="E164" s="58">
        <v>-168868</v>
      </c>
      <c r="F164" s="58">
        <v>16182750.353</v>
      </c>
      <c r="G164" s="79" t="e">
        <v>#REF!</v>
      </c>
      <c r="H164" s="58" t="e">
        <v>#REF!</v>
      </c>
      <c r="I164" s="59">
        <v>5551891.5239139982</v>
      </c>
      <c r="J164" s="79">
        <v>3.387033201567561</v>
      </c>
      <c r="K164" s="59">
        <v>33279351</v>
      </c>
      <c r="L164" s="60">
        <v>106120.03544800001</v>
      </c>
      <c r="M164" s="60">
        <v>743.36197800000002</v>
      </c>
      <c r="N164" s="61">
        <f t="shared" ref="N164:N168" si="309">C164/C$7-1</f>
        <v>0.89756178531013231</v>
      </c>
      <c r="O164" s="61" t="e">
        <f t="shared" ref="O164:O168" si="310">G164/G$7-1</f>
        <v>#REF!</v>
      </c>
      <c r="P164" s="61" t="e">
        <f t="shared" ref="P164:P168" si="311">J164/J$7-1</f>
        <v>#REF!</v>
      </c>
      <c r="Q164" s="61">
        <f t="shared" ref="Q164:Q168" si="312">L164/L$7-1</f>
        <v>0.61017308972569739</v>
      </c>
      <c r="R164" s="61">
        <f t="shared" ref="R164:R168" si="313">M164/M$7-1</f>
        <v>0.47284971171563872</v>
      </c>
      <c r="S164" s="83">
        <v>-0.20249099639550294</v>
      </c>
      <c r="T164" s="62">
        <v>1.4165936753392581</v>
      </c>
      <c r="U164" s="62">
        <v>0</v>
      </c>
    </row>
    <row r="165" spans="1:21" ht="16.5" x14ac:dyDescent="0.25">
      <c r="A165" s="55">
        <v>46262</v>
      </c>
      <c r="B165" s="56">
        <v>23725863</v>
      </c>
      <c r="C165" s="79">
        <v>19.164098488171195</v>
      </c>
      <c r="D165" s="58">
        <v>1238037</v>
      </c>
      <c r="E165" s="58">
        <v>233346</v>
      </c>
      <c r="F165" s="58">
        <v>16182750.353</v>
      </c>
      <c r="G165" s="79" t="e">
        <v>#REF!</v>
      </c>
      <c r="H165" s="58" t="e">
        <v>#REF!</v>
      </c>
      <c r="I165" s="59">
        <v>5551891.5239139982</v>
      </c>
      <c r="J165" s="79">
        <v>3.387033201567561</v>
      </c>
      <c r="K165" s="59">
        <v>34314140</v>
      </c>
      <c r="L165" s="60">
        <v>106965.69</v>
      </c>
      <c r="M165" s="60">
        <v>748.26</v>
      </c>
      <c r="N165" s="61">
        <f t="shared" si="309"/>
        <v>0.91640984881711951</v>
      </c>
      <c r="O165" s="61" t="e">
        <f t="shared" si="310"/>
        <v>#REF!</v>
      </c>
      <c r="P165" s="61" t="e">
        <f t="shared" si="311"/>
        <v>#REF!</v>
      </c>
      <c r="Q165" s="61">
        <f t="shared" si="312"/>
        <v>0.6230043161485499</v>
      </c>
      <c r="R165" s="61">
        <f t="shared" si="313"/>
        <v>0.48255433813477056</v>
      </c>
      <c r="S165" s="83">
        <v>-0.19456951501676878</v>
      </c>
      <c r="T165" s="62">
        <v>1.4462757371565367</v>
      </c>
      <c r="U165" s="62">
        <v>0</v>
      </c>
    </row>
    <row r="166" spans="1:21" ht="16.5" x14ac:dyDescent="0.25">
      <c r="A166" s="55">
        <v>46265</v>
      </c>
      <c r="B166" s="56">
        <v>24284334</v>
      </c>
      <c r="C166" s="79">
        <v>19.615192437705819</v>
      </c>
      <c r="D166" s="58">
        <v>1238037</v>
      </c>
      <c r="E166" s="58">
        <v>558471</v>
      </c>
      <c r="F166" s="58">
        <v>16182750.353</v>
      </c>
      <c r="G166" s="79" t="e">
        <v>#REF!</v>
      </c>
      <c r="H166" s="58" t="e">
        <v>#REF!</v>
      </c>
      <c r="I166" s="59">
        <v>5551891.5239139982</v>
      </c>
      <c r="J166" s="79">
        <v>3.387033201567561</v>
      </c>
      <c r="K166" s="59">
        <v>34872611</v>
      </c>
      <c r="L166" s="60">
        <v>106495.040964</v>
      </c>
      <c r="M166" s="60">
        <v>746.16487199999995</v>
      </c>
      <c r="N166" s="61">
        <f t="shared" si="309"/>
        <v>0.96151924377058196</v>
      </c>
      <c r="O166" s="61" t="e">
        <f t="shared" si="310"/>
        <v>#REF!</v>
      </c>
      <c r="P166" s="61" t="e">
        <f t="shared" si="311"/>
        <v>#REF!</v>
      </c>
      <c r="Q166" s="61">
        <f t="shared" si="312"/>
        <v>0.61586309715749632</v>
      </c>
      <c r="R166" s="61">
        <f t="shared" si="313"/>
        <v>0.47840318598799314</v>
      </c>
      <c r="S166" s="83">
        <v>-0.1756108972257503</v>
      </c>
      <c r="T166" s="62">
        <v>1.4360126573782093</v>
      </c>
      <c r="U166" s="62">
        <v>0</v>
      </c>
    </row>
    <row r="167" spans="1:21" ht="16.5" x14ac:dyDescent="0.25">
      <c r="A167" s="55">
        <v>46266</v>
      </c>
      <c r="B167" s="56">
        <v>24589214</v>
      </c>
      <c r="C167" s="79">
        <v>19.861453252204903</v>
      </c>
      <c r="D167" s="58">
        <v>1238037</v>
      </c>
      <c r="E167" s="58">
        <v>304880</v>
      </c>
      <c r="F167" s="58">
        <v>16182750.353</v>
      </c>
      <c r="G167" s="79" t="e">
        <v>#REF!</v>
      </c>
      <c r="H167" s="58" t="e">
        <v>#REF!</v>
      </c>
      <c r="I167" s="59">
        <v>5551891.5239139982</v>
      </c>
      <c r="J167" s="79">
        <v>3.387033201567561</v>
      </c>
      <c r="K167" s="59">
        <v>39530020</v>
      </c>
      <c r="L167" s="60">
        <v>108390.65269315921</v>
      </c>
      <c r="M167" s="60">
        <v>763.02819810719996</v>
      </c>
      <c r="N167" s="61">
        <f t="shared" si="309"/>
        <v>0.98614532522049037</v>
      </c>
      <c r="O167" s="61" t="e">
        <f t="shared" si="310"/>
        <v>#REF!</v>
      </c>
      <c r="P167" s="61" t="e">
        <f t="shared" si="311"/>
        <v>#REF!</v>
      </c>
      <c r="Q167" s="61">
        <f t="shared" si="312"/>
        <v>0.64462546028689993</v>
      </c>
      <c r="R167" s="61">
        <f t="shared" si="313"/>
        <v>0.51181509799132163</v>
      </c>
      <c r="S167" s="83">
        <v>-0.16526102517845365</v>
      </c>
      <c r="T167" s="62">
        <v>1.6076162499541466</v>
      </c>
      <c r="U167" s="62">
        <v>0</v>
      </c>
    </row>
    <row r="168" spans="1:21" ht="16.5" x14ac:dyDescent="0.25">
      <c r="A168" s="55">
        <v>46267</v>
      </c>
      <c r="B168" s="56">
        <v>24077250</v>
      </c>
      <c r="C168" s="79">
        <v>19.447924415829252</v>
      </c>
      <c r="D168" s="58">
        <v>1238037</v>
      </c>
      <c r="E168" s="58">
        <v>-511964</v>
      </c>
      <c r="F168" s="58">
        <v>16182750.353</v>
      </c>
      <c r="G168" s="79" t="e">
        <v>#REF!</v>
      </c>
      <c r="H168" s="58" t="e">
        <v>#REF!</v>
      </c>
      <c r="I168" s="59">
        <v>5551891.5239139982</v>
      </c>
      <c r="J168" s="79">
        <v>3.387033201567561</v>
      </c>
      <c r="K168" s="59">
        <v>34449453</v>
      </c>
      <c r="L168" s="60">
        <v>106591.66</v>
      </c>
      <c r="M168" s="60">
        <v>756.14</v>
      </c>
      <c r="N168" s="61">
        <f t="shared" si="309"/>
        <v>0.94479244158292519</v>
      </c>
      <c r="O168" s="61" t="e">
        <f t="shared" si="310"/>
        <v>#REF!</v>
      </c>
      <c r="P168" s="61" t="e">
        <f t="shared" si="311"/>
        <v>#REF!</v>
      </c>
      <c r="Q168" s="61">
        <f t="shared" si="312"/>
        <v>0.61732911034780158</v>
      </c>
      <c r="R168" s="61">
        <f t="shared" si="313"/>
        <v>0.49816726436963799</v>
      </c>
      <c r="S168" s="83">
        <v>-0.18264085295601251</v>
      </c>
      <c r="T168" s="62">
        <v>1.4307885244369685</v>
      </c>
      <c r="U168" s="62">
        <v>0</v>
      </c>
    </row>
    <row r="169" spans="1:21" ht="16.5" x14ac:dyDescent="0.25">
      <c r="A169" s="55">
        <v>46268</v>
      </c>
      <c r="B169" s="56">
        <v>23904250</v>
      </c>
      <c r="C169" s="79">
        <v>19.308187073568885</v>
      </c>
      <c r="D169" s="58">
        <v>1238037</v>
      </c>
      <c r="E169" s="58">
        <v>-173000</v>
      </c>
      <c r="F169" s="58">
        <v>16182750.353</v>
      </c>
      <c r="G169" s="79" t="e">
        <v>#REF!</v>
      </c>
      <c r="H169" s="58" t="e">
        <v>#REF!</v>
      </c>
      <c r="I169" s="59">
        <v>5551891.5239139982</v>
      </c>
      <c r="J169" s="79">
        <v>3.387033201567561</v>
      </c>
      <c r="K169" s="59">
        <v>37171603</v>
      </c>
      <c r="L169" s="60">
        <v>105884.91</v>
      </c>
      <c r="M169" s="60">
        <v>734.51</v>
      </c>
      <c r="N169" s="61">
        <f t="shared" ref="N169:N177" si="314">C169/C$7-1</f>
        <v>0.93081870735688854</v>
      </c>
      <c r="O169" s="61" t="e">
        <f t="shared" ref="O169:O177" si="315">G169/G$7-1</f>
        <v>#REF!</v>
      </c>
      <c r="P169" s="61" t="e">
        <f t="shared" ref="P169:P177" si="316">J169/J$7-1</f>
        <v>#REF!</v>
      </c>
      <c r="Q169" s="61">
        <f t="shared" ref="Q169:Q177" si="317">L169/L$7-1</f>
        <v>0.60660550074515251</v>
      </c>
      <c r="R169" s="61">
        <f t="shared" ref="R169:R177" si="318">M169/M$7-1</f>
        <v>0.45531097065641668</v>
      </c>
      <c r="S169" s="83">
        <v>-0.18851374676401011</v>
      </c>
      <c r="T169" s="62">
        <v>1.5550206762395808</v>
      </c>
      <c r="U169" s="62">
        <v>0</v>
      </c>
    </row>
    <row r="170" spans="1:21" ht="16.5" x14ac:dyDescent="0.25">
      <c r="A170" s="55">
        <v>46269</v>
      </c>
      <c r="B170" s="56">
        <v>24932327</v>
      </c>
      <c r="C170" s="79">
        <v>20.138596019343524</v>
      </c>
      <c r="D170" s="58">
        <v>1238037</v>
      </c>
      <c r="E170" s="58">
        <v>1028077</v>
      </c>
      <c r="F170" s="58">
        <v>16182750.353</v>
      </c>
      <c r="G170" s="79" t="e">
        <v>#REF!</v>
      </c>
      <c r="H170" s="58" t="e">
        <v>#REF!</v>
      </c>
      <c r="I170" s="59">
        <v>5551891.5239139982</v>
      </c>
      <c r="J170" s="79">
        <v>3.387033201567561</v>
      </c>
      <c r="K170" s="59">
        <v>40380040</v>
      </c>
      <c r="L170" s="60">
        <v>107486.11</v>
      </c>
      <c r="M170" s="60">
        <v>747.95</v>
      </c>
      <c r="N170" s="61">
        <f t="shared" si="314"/>
        <v>1.0138596019343522</v>
      </c>
      <c r="O170" s="61" t="e">
        <f t="shared" si="315"/>
        <v>#REF!</v>
      </c>
      <c r="P170" s="61" t="e">
        <f t="shared" si="316"/>
        <v>#REF!</v>
      </c>
      <c r="Q170" s="61">
        <f t="shared" si="317"/>
        <v>0.6309007164448508</v>
      </c>
      <c r="R170" s="61">
        <f t="shared" si="318"/>
        <v>0.48194012403162234</v>
      </c>
      <c r="S170" s="83">
        <v>-0.15361324359958972</v>
      </c>
      <c r="T170" s="62">
        <v>1.6195856888929783</v>
      </c>
      <c r="U170" s="62">
        <v>0</v>
      </c>
    </row>
    <row r="171" spans="1:21" ht="16.5" x14ac:dyDescent="0.25">
      <c r="A171" s="55">
        <v>46272</v>
      </c>
      <c r="B171" s="56">
        <v>26083038</v>
      </c>
      <c r="C171" s="79">
        <f>B171/D171</f>
        <v>21.068060162983819</v>
      </c>
      <c r="D171" s="58">
        <v>1238037</v>
      </c>
      <c r="E171" s="58">
        <f>B171-B170</f>
        <v>1150711</v>
      </c>
      <c r="F171" s="58">
        <v>16182750.353</v>
      </c>
      <c r="G171" s="79" t="e">
        <v>#REF!</v>
      </c>
      <c r="H171" s="58" t="e">
        <v>#REF!</v>
      </c>
      <c r="I171" s="59">
        <v>5551891.5239139982</v>
      </c>
      <c r="J171" s="79">
        <v>3.387033201567561</v>
      </c>
      <c r="K171" s="59">
        <v>41011650</v>
      </c>
      <c r="L171" s="60">
        <v>109275.93</v>
      </c>
      <c r="M171" s="60">
        <v>760.74</v>
      </c>
      <c r="N171" s="61">
        <f t="shared" si="314"/>
        <v>1.1068060162983819</v>
      </c>
      <c r="O171" s="61" t="e">
        <f t="shared" si="315"/>
        <v>#REF!</v>
      </c>
      <c r="P171" s="61" t="e">
        <f t="shared" si="316"/>
        <v>#REF!</v>
      </c>
      <c r="Q171" s="61">
        <f t="shared" si="317"/>
        <v>0.6580578879185166</v>
      </c>
      <c r="R171" s="61">
        <f t="shared" si="318"/>
        <v>0.50728140912603292</v>
      </c>
      <c r="S171" s="83">
        <f>C171/MAX($C$7:C171)-1</f>
        <v>-0.11454963951464925</v>
      </c>
      <c r="T171" s="62">
        <v>1.5731365123758401</v>
      </c>
      <c r="U171" s="62">
        <v>0</v>
      </c>
    </row>
    <row r="172" spans="1:21" ht="16.5" x14ac:dyDescent="0.25">
      <c r="A172" s="55">
        <v>46273</v>
      </c>
      <c r="B172" s="56">
        <v>26181198</v>
      </c>
      <c r="C172" s="79">
        <v>21.147346969436292</v>
      </c>
      <c r="D172" s="58">
        <v>1238037</v>
      </c>
      <c r="E172" s="58">
        <v>98160</v>
      </c>
      <c r="F172" s="58">
        <v>16182750.353</v>
      </c>
      <c r="G172" s="79" t="e">
        <v>#REF!</v>
      </c>
      <c r="H172" s="58" t="e">
        <v>#REF!</v>
      </c>
      <c r="I172" s="59">
        <v>5551891.5239139982</v>
      </c>
      <c r="J172" s="79">
        <v>3.387033201567561</v>
      </c>
      <c r="K172" s="59">
        <v>41122860</v>
      </c>
      <c r="L172" s="60">
        <v>108777.60000000001</v>
      </c>
      <c r="M172" s="60">
        <v>756.79</v>
      </c>
      <c r="N172" s="61">
        <f t="shared" si="314"/>
        <v>1.1147346969436294</v>
      </c>
      <c r="O172" s="61" t="e">
        <f t="shared" si="315"/>
        <v>#REF!</v>
      </c>
      <c r="P172" s="61" t="e">
        <f t="shared" si="316"/>
        <v>#REF!</v>
      </c>
      <c r="Q172" s="61">
        <f t="shared" si="317"/>
        <v>0.65049666206313916</v>
      </c>
      <c r="R172" s="61">
        <f t="shared" si="318"/>
        <v>0.49945513265043284</v>
      </c>
      <c r="S172" s="83">
        <v>-0.11121736635746404</v>
      </c>
      <c r="T172" s="62">
        <v>1.5707019976702365</v>
      </c>
      <c r="U172" s="62">
        <v>0</v>
      </c>
    </row>
    <row r="173" spans="1:21" ht="16.5" x14ac:dyDescent="0.25">
      <c r="A173" s="55">
        <v>46274</v>
      </c>
      <c r="B173" s="56">
        <v>25271091</v>
      </c>
      <c r="C173" s="79">
        <v>20.412225967398388</v>
      </c>
      <c r="D173" s="58">
        <v>1238037</v>
      </c>
      <c r="E173" s="58">
        <v>-910107</v>
      </c>
      <c r="F173" s="58">
        <v>16182750.353</v>
      </c>
      <c r="G173" s="79" t="e">
        <v>#REF!</v>
      </c>
      <c r="H173" s="58" t="e">
        <v>#REF!</v>
      </c>
      <c r="I173" s="59">
        <v>5551891.5239139982</v>
      </c>
      <c r="J173" s="79">
        <v>3.387033201567561</v>
      </c>
      <c r="K173" s="59">
        <v>38349360</v>
      </c>
      <c r="L173" s="60">
        <v>108959.9</v>
      </c>
      <c r="M173" s="60">
        <v>758.49</v>
      </c>
      <c r="N173" s="61">
        <f t="shared" si="314"/>
        <v>1.0412225967398387</v>
      </c>
      <c r="O173" s="61" t="e">
        <f t="shared" si="315"/>
        <v>#REF!</v>
      </c>
      <c r="P173" s="61" t="e">
        <f t="shared" si="316"/>
        <v>#REF!</v>
      </c>
      <c r="Q173" s="61">
        <f t="shared" si="317"/>
        <v>0.65326272365572891</v>
      </c>
      <c r="R173" s="61">
        <f t="shared" si="318"/>
        <v>0.50282340353866584</v>
      </c>
      <c r="S173" s="83">
        <v>-0.14211309910263892</v>
      </c>
      <c r="T173" s="62">
        <v>1.517518970589754</v>
      </c>
      <c r="U173" s="62">
        <v>0</v>
      </c>
    </row>
    <row r="174" spans="1:21" ht="16.5" x14ac:dyDescent="0.25">
      <c r="A174" s="55">
        <v>46275</v>
      </c>
      <c r="B174" s="56">
        <v>25329353</v>
      </c>
      <c r="C174" s="79">
        <v>20.459285950258352</v>
      </c>
      <c r="D174" s="58">
        <v>1238037</v>
      </c>
      <c r="E174" s="58">
        <v>58262</v>
      </c>
      <c r="F174" s="58">
        <v>16182750.353</v>
      </c>
      <c r="G174" s="79" t="e">
        <v>#REF!</v>
      </c>
      <c r="H174" s="58" t="e">
        <v>#REF!</v>
      </c>
      <c r="I174" s="59">
        <v>5551891.5239139982</v>
      </c>
      <c r="J174" s="79">
        <v>3.387033201567561</v>
      </c>
      <c r="K174" s="59">
        <v>38426404</v>
      </c>
      <c r="L174" s="60">
        <v>108399.7</v>
      </c>
      <c r="M174" s="60">
        <v>753.21</v>
      </c>
      <c r="N174" s="61">
        <f t="shared" si="314"/>
        <v>1.0459285950258352</v>
      </c>
      <c r="O174" s="61" t="e">
        <f t="shared" si="315"/>
        <v>#REF!</v>
      </c>
      <c r="P174" s="61" t="e">
        <f t="shared" si="316"/>
        <v>#REF!</v>
      </c>
      <c r="Q174" s="61">
        <f t="shared" si="317"/>
        <v>0.64476273624942682</v>
      </c>
      <c r="R174" s="61">
        <f t="shared" si="318"/>
        <v>0.49236195042697806</v>
      </c>
      <c r="S174" s="83">
        <v>-0.14013525783650271</v>
      </c>
      <c r="T174" s="62">
        <v>1.5170700965002935</v>
      </c>
      <c r="U174" s="62">
        <v>0</v>
      </c>
    </row>
    <row r="175" spans="1:21" ht="16.5" x14ac:dyDescent="0.25">
      <c r="A175" s="55">
        <v>46276</v>
      </c>
      <c r="B175" s="56">
        <v>25085992</v>
      </c>
      <c r="C175" s="79">
        <v>20.26271589621312</v>
      </c>
      <c r="D175" s="58">
        <v>1238037</v>
      </c>
      <c r="E175" s="58">
        <v>-243361</v>
      </c>
      <c r="F175" s="58">
        <v>16182750.353</v>
      </c>
      <c r="G175" s="79" t="e">
        <v>#REF!</v>
      </c>
      <c r="H175" s="58" t="e">
        <v>#REF!</v>
      </c>
      <c r="I175" s="59">
        <v>5551891.5239139982</v>
      </c>
      <c r="J175" s="79">
        <v>3.387033201567561</v>
      </c>
      <c r="K175" s="59">
        <v>38194080</v>
      </c>
      <c r="L175" s="60">
        <v>106654.71</v>
      </c>
      <c r="M175" s="60">
        <v>735.15</v>
      </c>
      <c r="N175" s="61">
        <v>1.0262715896213122</v>
      </c>
      <c r="O175" s="61" t="e">
        <v>#REF!</v>
      </c>
      <c r="P175" s="61" t="e">
        <v>#REF!</v>
      </c>
      <c r="Q175" s="61">
        <v>0.6182857761920848</v>
      </c>
      <c r="R175" s="61">
        <v>0.45657902557904539</v>
      </c>
      <c r="S175" s="83">
        <v>-0.14839672205620258</v>
      </c>
      <c r="T175" s="62">
        <v>1.5225261970903921</v>
      </c>
      <c r="U175" s="62">
        <v>0</v>
      </c>
    </row>
    <row r="176" spans="1:21" ht="16.5" x14ac:dyDescent="0.25">
      <c r="A176" s="55">
        <v>46279</v>
      </c>
      <c r="B176" s="56">
        <v>25307211</v>
      </c>
      <c r="C176" s="79">
        <v>20.44140118590963</v>
      </c>
      <c r="D176" s="58">
        <v>1238037</v>
      </c>
      <c r="E176" s="58">
        <v>221219</v>
      </c>
      <c r="F176" s="58">
        <v>16182750.353</v>
      </c>
      <c r="G176" s="79" t="e">
        <v>#REF!</v>
      </c>
      <c r="H176" s="58" t="e">
        <v>#REF!</v>
      </c>
      <c r="I176" s="59">
        <v>5551891.5239139982</v>
      </c>
      <c r="J176" s="79">
        <v>3.387033201567561</v>
      </c>
      <c r="K176" s="59">
        <v>38709708</v>
      </c>
      <c r="L176" s="60">
        <v>105910.88</v>
      </c>
      <c r="M176" s="60">
        <v>733.57</v>
      </c>
      <c r="N176" s="61">
        <v>1.0441401185909629</v>
      </c>
      <c r="O176" s="61" t="e">
        <v>#REF!</v>
      </c>
      <c r="P176" s="61" t="e">
        <v>#REF!</v>
      </c>
      <c r="Q176" s="61">
        <v>0.60699954693033953</v>
      </c>
      <c r="R176" s="61">
        <v>0.45344851498880567</v>
      </c>
      <c r="S176" s="83">
        <v>-0.14088692034920025</v>
      </c>
      <c r="T176" s="62">
        <v>1.5295920202348652</v>
      </c>
      <c r="U176" s="62">
        <v>0</v>
      </c>
    </row>
    <row r="177" spans="1:23" ht="17.100000000000001" customHeight="1" x14ac:dyDescent="0.25">
      <c r="A177" s="55">
        <v>46280</v>
      </c>
      <c r="B177" s="56">
        <f>按股票分類!D20</f>
        <v>25005784</v>
      </c>
      <c r="C177" s="79">
        <f>B177/D177</f>
        <v>20.197929464143641</v>
      </c>
      <c r="D177" s="58">
        <v>1238037</v>
      </c>
      <c r="E177" s="58">
        <f>B177-B176</f>
        <v>-301427</v>
      </c>
      <c r="F177" s="58">
        <v>16182750.353</v>
      </c>
      <c r="G177" s="79" t="e">
        <v>#REF!</v>
      </c>
      <c r="H177" s="58" t="e">
        <v>#REF!</v>
      </c>
      <c r="I177" s="59">
        <v>5551891.5239139982</v>
      </c>
      <c r="J177" s="79">
        <v>3.387033201567561</v>
      </c>
      <c r="K177" s="59">
        <f>按股票分類!D12</f>
        <v>38981255</v>
      </c>
      <c r="L177" s="60">
        <f>L176*(1-0.0077)</f>
        <v>105095.366224</v>
      </c>
      <c r="M177" s="60">
        <f>M176*(1-0.0151)</f>
        <v>722.49309300000004</v>
      </c>
      <c r="N177" s="61">
        <f t="shared" si="314"/>
        <v>1.019792946414364</v>
      </c>
      <c r="O177" s="61" t="e">
        <f t="shared" si="315"/>
        <v>#REF!</v>
      </c>
      <c r="P177" s="61" t="e">
        <f t="shared" si="316"/>
        <v>#REF!</v>
      </c>
      <c r="Q177" s="61">
        <f t="shared" si="317"/>
        <v>0.59462565041897575</v>
      </c>
      <c r="R177" s="61">
        <f t="shared" si="318"/>
        <v>0.43150144241247457</v>
      </c>
      <c r="S177" s="83">
        <f>C177/MAX($C$7:C177)-1</f>
        <v>-0.15111957215187821</v>
      </c>
      <c r="T177" s="62">
        <f>K177/B177</f>
        <v>1.5588895353171091</v>
      </c>
      <c r="U177" s="62">
        <v>0</v>
      </c>
    </row>
    <row r="178" spans="1:23" ht="16.5" x14ac:dyDescent="0.25">
      <c r="A178" s="55"/>
      <c r="B178" s="56"/>
      <c r="C178" s="61"/>
      <c r="D178" s="56"/>
      <c r="F178" s="58"/>
      <c r="G178" s="58"/>
      <c r="H178" s="58"/>
      <c r="I178" s="59"/>
      <c r="J178" s="59"/>
      <c r="K178" s="59"/>
      <c r="L178" s="60"/>
      <c r="M178" s="84"/>
      <c r="N178" s="61"/>
      <c r="O178" s="61"/>
      <c r="P178" s="61"/>
      <c r="Q178" s="61"/>
      <c r="R178" s="61"/>
      <c r="S178" s="61"/>
      <c r="T178" s="62"/>
      <c r="U178" s="62"/>
    </row>
    <row r="179" spans="1:23" ht="16.5" x14ac:dyDescent="0.25">
      <c r="A179" s="55"/>
      <c r="B179" s="56"/>
      <c r="C179" s="56"/>
      <c r="D179" s="56"/>
      <c r="E179" s="57"/>
      <c r="F179" s="58"/>
      <c r="G179" s="58"/>
      <c r="H179" s="58"/>
      <c r="I179" s="59"/>
      <c r="J179" s="59"/>
      <c r="K179" s="59"/>
      <c r="L179" s="60"/>
      <c r="M179" s="60"/>
      <c r="N179" s="61"/>
      <c r="O179" s="61"/>
      <c r="P179" s="61"/>
      <c r="Q179" s="61"/>
      <c r="R179" s="61"/>
      <c r="S179" s="61"/>
      <c r="T179" s="62"/>
      <c r="U179" s="62"/>
    </row>
    <row r="180" spans="1:23" ht="16.5" x14ac:dyDescent="0.25">
      <c r="A180" s="55"/>
      <c r="B180" s="56"/>
      <c r="C180" s="56"/>
      <c r="D180" s="56"/>
      <c r="E180" s="57"/>
      <c r="F180" s="58"/>
      <c r="G180" s="58"/>
      <c r="H180" s="58"/>
      <c r="I180" s="59"/>
      <c r="J180" s="59"/>
      <c r="K180" s="59"/>
      <c r="L180" s="60"/>
      <c r="M180" s="60"/>
      <c r="N180" s="61"/>
      <c r="O180" s="61"/>
      <c r="P180" s="61"/>
      <c r="Q180" s="61"/>
      <c r="R180" s="61"/>
      <c r="S180" s="61"/>
      <c r="T180" s="62"/>
      <c r="U180" s="62"/>
    </row>
    <row r="181" spans="1:23" ht="16.5" x14ac:dyDescent="0.25">
      <c r="A181" s="55"/>
      <c r="B181" s="56"/>
      <c r="C181" s="56"/>
      <c r="D181" s="56"/>
      <c r="E181" s="57"/>
      <c r="F181" s="58"/>
      <c r="G181" s="58"/>
      <c r="H181" s="58"/>
      <c r="I181" s="59"/>
      <c r="J181" s="59"/>
      <c r="K181" s="59"/>
      <c r="L181" s="60"/>
      <c r="M181" s="60"/>
      <c r="N181" s="61"/>
      <c r="O181" s="61"/>
      <c r="P181" s="61"/>
      <c r="Q181" s="61"/>
      <c r="R181" s="61"/>
      <c r="S181" s="61"/>
      <c r="T181" s="62"/>
      <c r="U181" s="62"/>
    </row>
    <row r="182" spans="1:23" ht="16.5" x14ac:dyDescent="0.25">
      <c r="A182" s="55"/>
      <c r="B182" s="56"/>
      <c r="C182" s="56"/>
      <c r="D182" s="56"/>
      <c r="E182" s="57"/>
      <c r="F182" s="58"/>
      <c r="G182" s="58"/>
      <c r="H182" s="58"/>
      <c r="I182" s="59"/>
      <c r="J182" s="59"/>
      <c r="K182" s="59"/>
      <c r="L182" s="60"/>
      <c r="M182" s="60"/>
      <c r="N182" s="61"/>
      <c r="O182" s="61"/>
      <c r="P182" s="61"/>
      <c r="Q182" s="61"/>
      <c r="R182" s="61"/>
      <c r="S182" s="61"/>
      <c r="T182" s="62"/>
      <c r="U182" s="62"/>
    </row>
    <row r="183" spans="1:23" ht="16.5" x14ac:dyDescent="0.25">
      <c r="A183" s="55"/>
      <c r="B183" s="56"/>
      <c r="C183" s="56"/>
      <c r="D183" s="56"/>
      <c r="E183" s="57"/>
      <c r="F183" s="58"/>
      <c r="G183" s="58"/>
      <c r="H183" s="58"/>
      <c r="I183" s="59"/>
      <c r="J183" s="59"/>
      <c r="K183" s="59"/>
      <c r="L183" s="60"/>
      <c r="M183" s="60"/>
      <c r="N183" s="61"/>
      <c r="O183" s="61"/>
      <c r="P183" s="61"/>
      <c r="Q183" s="61"/>
      <c r="R183" s="61"/>
      <c r="S183" s="61"/>
      <c r="T183" s="62"/>
      <c r="U183" s="62"/>
    </row>
    <row r="184" spans="1:23" ht="16.5" x14ac:dyDescent="0.25">
      <c r="A184" s="55"/>
      <c r="B184" s="56"/>
      <c r="C184" s="56"/>
      <c r="D184" s="56"/>
      <c r="E184" s="57"/>
      <c r="F184" s="58"/>
      <c r="G184" s="58"/>
      <c r="H184" s="58"/>
      <c r="I184" s="59"/>
      <c r="J184" s="59"/>
      <c r="K184" s="59"/>
      <c r="L184" s="60"/>
      <c r="M184" s="60"/>
      <c r="N184" s="61"/>
      <c r="O184" s="61"/>
      <c r="P184" s="61"/>
      <c r="Q184" s="58"/>
      <c r="R184" s="61"/>
      <c r="S184" s="61"/>
      <c r="T184" s="62"/>
      <c r="U184" s="62"/>
    </row>
    <row r="185" spans="1:23" ht="16.5" x14ac:dyDescent="0.25">
      <c r="A185" s="55"/>
      <c r="B185" s="56"/>
      <c r="C185" s="56"/>
      <c r="D185" s="56"/>
      <c r="E185" s="57"/>
      <c r="F185" s="58"/>
      <c r="G185" s="58"/>
      <c r="H185" s="58"/>
      <c r="I185" s="59"/>
      <c r="J185" s="59"/>
      <c r="K185" s="59"/>
      <c r="L185" s="60"/>
      <c r="M185" s="60"/>
      <c r="N185" s="61"/>
      <c r="O185" s="61"/>
      <c r="P185" s="61"/>
      <c r="Q185" s="58"/>
      <c r="R185" s="82"/>
      <c r="S185" s="61"/>
      <c r="T185" s="62"/>
      <c r="U185" s="62"/>
    </row>
    <row r="186" spans="1:23" ht="16.5" x14ac:dyDescent="0.25">
      <c r="A186" s="55"/>
      <c r="B186" s="56"/>
      <c r="C186" s="56"/>
      <c r="D186" s="56"/>
      <c r="E186" s="57"/>
      <c r="F186" s="58"/>
      <c r="G186" s="58"/>
      <c r="H186" s="58"/>
      <c r="I186" s="59"/>
      <c r="J186" s="59"/>
      <c r="K186" s="59"/>
      <c r="L186" s="60"/>
      <c r="M186" s="60"/>
      <c r="N186" s="61"/>
      <c r="O186" s="61"/>
      <c r="P186" s="61"/>
      <c r="Q186" s="58"/>
      <c r="R186" s="61"/>
      <c r="S186" s="61"/>
      <c r="T186" s="62"/>
      <c r="U186" s="62"/>
    </row>
    <row r="187" spans="1:23" ht="16.5" x14ac:dyDescent="0.25">
      <c r="A187" s="55"/>
      <c r="B187" s="56"/>
      <c r="C187" s="56"/>
      <c r="D187" s="56"/>
      <c r="E187" s="57"/>
      <c r="F187" s="58"/>
      <c r="G187" s="58"/>
      <c r="H187" s="58"/>
      <c r="I187" s="59"/>
      <c r="J187" s="59"/>
      <c r="K187" s="59"/>
      <c r="L187" s="60"/>
      <c r="M187" s="60"/>
      <c r="N187" s="61"/>
      <c r="O187" s="61"/>
      <c r="P187" s="61"/>
      <c r="Q187" s="58"/>
      <c r="R187" s="61" t="s">
        <v>21</v>
      </c>
      <c r="S187" s="61"/>
      <c r="T187" s="62"/>
      <c r="U187" s="62"/>
    </row>
    <row r="188" spans="1:23" ht="16.5" x14ac:dyDescent="0.25">
      <c r="A188" s="55"/>
      <c r="B188" s="56"/>
      <c r="C188" s="56"/>
      <c r="D188" s="56"/>
      <c r="E188" s="57"/>
      <c r="F188" s="58"/>
      <c r="G188" s="58"/>
      <c r="H188" s="58"/>
      <c r="I188" s="59"/>
      <c r="J188" s="59"/>
      <c r="K188" s="59"/>
      <c r="L188" s="60"/>
      <c r="M188" s="60"/>
      <c r="N188" s="61"/>
      <c r="O188" s="61"/>
      <c r="P188" s="61"/>
      <c r="Q188" s="61"/>
      <c r="R188" s="61"/>
      <c r="S188" s="61"/>
      <c r="T188" s="62"/>
      <c r="U188" s="62"/>
    </row>
    <row r="189" spans="1:23" ht="16.5" x14ac:dyDescent="0.25">
      <c r="A189" s="55"/>
      <c r="B189" s="56"/>
      <c r="C189" s="56"/>
      <c r="D189" s="56"/>
      <c r="E189" s="57"/>
      <c r="F189" s="58"/>
      <c r="G189" s="58"/>
      <c r="H189" s="58"/>
      <c r="I189" s="59"/>
      <c r="J189" s="59"/>
      <c r="K189" s="59"/>
      <c r="L189" s="60"/>
      <c r="M189" s="60"/>
      <c r="N189" s="61"/>
      <c r="O189" s="61"/>
      <c r="P189" s="61"/>
      <c r="Q189" s="58"/>
      <c r="R189" s="61"/>
      <c r="S189" s="61"/>
      <c r="T189" s="62"/>
      <c r="U189" s="62"/>
    </row>
    <row r="190" spans="1:23" ht="16.5" x14ac:dyDescent="0.25">
      <c r="A190" s="55"/>
      <c r="B190" s="56"/>
      <c r="C190" s="56"/>
      <c r="D190" s="56"/>
      <c r="E190" s="57"/>
      <c r="F190" s="58"/>
      <c r="G190" s="58"/>
      <c r="H190" s="58"/>
      <c r="I190" s="59"/>
      <c r="J190" s="59"/>
      <c r="K190" s="59"/>
      <c r="L190" s="60"/>
      <c r="M190" s="60"/>
      <c r="N190" s="61"/>
      <c r="O190" s="61"/>
      <c r="P190" s="61"/>
      <c r="Q190" s="58"/>
      <c r="R190" s="61"/>
      <c r="S190" s="61"/>
      <c r="T190" s="62"/>
      <c r="U190" s="62"/>
    </row>
    <row r="191" spans="1:23" ht="16.5" x14ac:dyDescent="0.25">
      <c r="A191" s="55"/>
      <c r="B191" s="56"/>
      <c r="C191" s="56"/>
      <c r="D191" s="56"/>
      <c r="E191" s="57"/>
      <c r="F191" s="58"/>
      <c r="G191" s="58"/>
      <c r="H191" s="58"/>
      <c r="I191" s="59"/>
      <c r="J191" s="59"/>
      <c r="K191" s="59"/>
      <c r="L191" s="60"/>
      <c r="M191" s="60"/>
      <c r="N191" s="61"/>
      <c r="O191" s="61"/>
      <c r="P191" s="61"/>
      <c r="Q191" s="61"/>
      <c r="R191" s="61"/>
      <c r="S191" s="61"/>
      <c r="T191" s="62"/>
      <c r="U191" s="62"/>
    </row>
    <row r="192" spans="1:23" ht="16.5" x14ac:dyDescent="0.25">
      <c r="A192" s="55"/>
      <c r="B192" s="56"/>
      <c r="C192" s="56"/>
      <c r="D192" s="56"/>
      <c r="E192" s="57"/>
      <c r="F192" s="58"/>
      <c r="G192" s="58"/>
      <c r="H192" s="58"/>
      <c r="I192" s="59"/>
      <c r="J192" s="59"/>
      <c r="K192" s="59"/>
      <c r="L192" s="60"/>
      <c r="M192" s="60"/>
      <c r="N192" s="61"/>
      <c r="O192" s="61"/>
      <c r="P192" s="61"/>
      <c r="Q192" s="61"/>
      <c r="R192" s="61"/>
      <c r="S192" s="61"/>
      <c r="T192" s="62"/>
      <c r="U192" s="62"/>
      <c r="W192" s="103"/>
    </row>
    <row r="193" spans="1:21" ht="16.5" x14ac:dyDescent="0.25">
      <c r="A193" s="55"/>
      <c r="B193" s="56"/>
      <c r="C193" s="56"/>
      <c r="D193" s="56"/>
      <c r="E193" s="57"/>
      <c r="F193" s="58"/>
      <c r="G193" s="58"/>
      <c r="H193" s="58"/>
      <c r="I193" s="59"/>
      <c r="J193" s="59"/>
      <c r="K193" s="59"/>
      <c r="L193" s="60"/>
      <c r="M193" s="60"/>
      <c r="N193" s="61"/>
      <c r="O193" s="61"/>
      <c r="P193" s="61"/>
      <c r="Q193" s="61"/>
      <c r="R193" s="61"/>
      <c r="S193" s="61"/>
      <c r="T193" s="62"/>
      <c r="U193" s="62"/>
    </row>
    <row r="194" spans="1:21" ht="16.5" x14ac:dyDescent="0.25">
      <c r="A194" s="55"/>
      <c r="B194" s="56"/>
      <c r="C194" s="56"/>
      <c r="D194" s="56"/>
      <c r="E194" s="57"/>
      <c r="F194" s="58"/>
      <c r="G194" s="58"/>
      <c r="H194" s="58"/>
      <c r="I194" s="59"/>
      <c r="J194" s="59"/>
      <c r="K194" s="59"/>
      <c r="L194" s="60"/>
      <c r="M194" s="60"/>
      <c r="N194" s="61"/>
      <c r="O194" s="61"/>
      <c r="P194" s="61"/>
      <c r="Q194" s="61"/>
      <c r="R194" s="61"/>
      <c r="S194" s="61"/>
      <c r="T194" s="62"/>
      <c r="U194" s="62"/>
    </row>
    <row r="195" spans="1:21" ht="16.5" x14ac:dyDescent="0.25">
      <c r="A195" s="55"/>
      <c r="B195" s="56"/>
      <c r="C195" s="56"/>
      <c r="D195" s="56"/>
      <c r="E195" s="57"/>
      <c r="F195" s="58"/>
      <c r="G195" s="58"/>
      <c r="H195" s="58"/>
      <c r="I195" s="59"/>
      <c r="J195" s="59"/>
      <c r="K195" s="59"/>
      <c r="L195" s="60"/>
      <c r="M195" s="60"/>
      <c r="N195" s="61"/>
      <c r="O195" s="61"/>
      <c r="P195" s="61"/>
      <c r="Q195" s="61"/>
      <c r="R195" s="61"/>
      <c r="S195" s="61"/>
      <c r="T195" s="62"/>
      <c r="U195" s="62"/>
    </row>
    <row r="196" spans="1:21" ht="16.5" x14ac:dyDescent="0.25">
      <c r="A196" s="55"/>
      <c r="B196" s="56"/>
      <c r="C196" s="56"/>
      <c r="D196" s="56"/>
      <c r="E196" s="57"/>
      <c r="F196" s="58"/>
      <c r="G196" s="58"/>
      <c r="H196" s="58"/>
      <c r="I196" s="59"/>
      <c r="J196" s="59"/>
      <c r="K196" s="59"/>
      <c r="L196" s="60"/>
      <c r="M196" s="60"/>
      <c r="N196" s="61"/>
      <c r="O196" s="61"/>
      <c r="P196" s="61"/>
      <c r="Q196" s="61"/>
      <c r="R196" s="61"/>
      <c r="S196" s="61"/>
      <c r="T196" s="62"/>
      <c r="U196" s="62"/>
    </row>
    <row r="197" spans="1:21" ht="16.5" x14ac:dyDescent="0.25">
      <c r="A197" s="55"/>
      <c r="B197" s="56"/>
      <c r="C197" s="56"/>
      <c r="D197" s="56"/>
      <c r="E197" s="57"/>
      <c r="F197" s="58"/>
      <c r="G197" s="58"/>
      <c r="H197" s="58"/>
      <c r="I197" s="59"/>
      <c r="J197" s="59"/>
      <c r="K197" s="59"/>
      <c r="L197" s="60"/>
      <c r="M197" s="60"/>
      <c r="N197" s="61"/>
      <c r="O197" s="61"/>
      <c r="P197" s="61"/>
      <c r="Q197" s="61"/>
      <c r="R197" s="61"/>
      <c r="S197" s="61"/>
      <c r="T197" s="62"/>
      <c r="U197" s="62"/>
    </row>
    <row r="198" spans="1:21" ht="16.5" x14ac:dyDescent="0.25">
      <c r="A198" s="55"/>
      <c r="B198" s="56"/>
      <c r="C198" s="56"/>
      <c r="D198" s="56"/>
      <c r="E198" s="57"/>
      <c r="F198" s="58"/>
      <c r="G198" s="58"/>
      <c r="H198" s="58"/>
      <c r="I198" s="59"/>
      <c r="J198" s="59"/>
      <c r="K198" s="59"/>
      <c r="L198" s="60"/>
      <c r="M198" s="60"/>
      <c r="N198" s="61"/>
      <c r="O198" s="61"/>
      <c r="P198" s="61"/>
      <c r="Q198" s="61"/>
      <c r="R198" s="61"/>
      <c r="S198" s="61"/>
      <c r="T198" s="62"/>
      <c r="U198" s="62"/>
    </row>
    <row r="199" spans="1:21" ht="16.5" x14ac:dyDescent="0.25">
      <c r="A199" s="55"/>
      <c r="B199" s="56"/>
      <c r="C199" s="56"/>
      <c r="D199" s="56"/>
      <c r="E199" s="57"/>
      <c r="F199" s="58"/>
      <c r="G199" s="58"/>
      <c r="H199" s="58"/>
      <c r="I199" s="59"/>
      <c r="J199" s="59"/>
      <c r="K199" s="59"/>
      <c r="L199" s="60"/>
      <c r="M199" s="60"/>
      <c r="N199" s="61"/>
      <c r="O199" s="61"/>
      <c r="P199" s="61"/>
      <c r="Q199" s="61"/>
      <c r="R199" s="61"/>
      <c r="S199" s="61"/>
      <c r="T199" s="62"/>
      <c r="U199" s="62"/>
    </row>
    <row r="200" spans="1:21" ht="16.5" x14ac:dyDescent="0.25">
      <c r="A200" s="55"/>
      <c r="B200" s="56"/>
      <c r="C200" s="56"/>
      <c r="D200" s="56"/>
      <c r="E200" s="57"/>
      <c r="F200" s="58"/>
      <c r="G200" s="58"/>
      <c r="H200" s="58"/>
      <c r="I200" s="59"/>
      <c r="J200" s="59"/>
      <c r="K200" s="59"/>
      <c r="L200" s="60"/>
      <c r="M200" s="60"/>
      <c r="N200" s="61"/>
      <c r="O200" s="61"/>
      <c r="P200" s="61"/>
      <c r="Q200" s="61"/>
      <c r="R200" s="61"/>
      <c r="S200" s="61"/>
      <c r="T200" s="62"/>
      <c r="U200" s="62"/>
    </row>
    <row r="201" spans="1:21" ht="16.5" x14ac:dyDescent="0.25">
      <c r="A201" s="55"/>
      <c r="B201" s="56"/>
      <c r="C201" s="56"/>
      <c r="D201" s="56"/>
      <c r="E201" s="57"/>
      <c r="F201" s="58"/>
      <c r="G201" s="58"/>
      <c r="H201" s="58"/>
      <c r="I201" s="59"/>
      <c r="J201" s="59"/>
      <c r="K201" s="59"/>
      <c r="L201" s="60"/>
      <c r="M201" s="60"/>
      <c r="N201" s="61"/>
      <c r="O201" s="61"/>
      <c r="P201" s="61"/>
      <c r="Q201" s="61"/>
      <c r="R201" s="61"/>
      <c r="S201" s="61"/>
      <c r="T201" s="62"/>
      <c r="U201" s="62"/>
    </row>
    <row r="202" spans="1:21" ht="16.5" x14ac:dyDescent="0.25">
      <c r="A202" s="55"/>
      <c r="B202" s="56"/>
      <c r="C202" s="56"/>
      <c r="D202" s="56"/>
      <c r="E202" s="57"/>
      <c r="F202" s="58"/>
      <c r="G202" s="58"/>
      <c r="H202" s="58"/>
      <c r="I202" s="59"/>
      <c r="J202" s="59"/>
      <c r="K202" s="59"/>
      <c r="L202" s="60"/>
      <c r="M202" s="60"/>
      <c r="N202" s="61"/>
      <c r="O202" s="61"/>
      <c r="P202" s="61"/>
      <c r="Q202" s="61"/>
      <c r="R202" s="61"/>
      <c r="S202" s="61"/>
      <c r="T202" s="62"/>
      <c r="U202" s="62"/>
    </row>
    <row r="203" spans="1:21" ht="16.5" x14ac:dyDescent="0.25">
      <c r="A203" s="55"/>
      <c r="B203" s="56"/>
      <c r="C203" s="56"/>
      <c r="D203" s="56"/>
      <c r="E203" s="57"/>
      <c r="F203" s="58"/>
      <c r="G203" s="58"/>
      <c r="H203" s="58"/>
      <c r="I203" s="59"/>
      <c r="J203" s="59"/>
      <c r="K203" s="59"/>
      <c r="L203" s="60"/>
      <c r="M203" s="60"/>
      <c r="N203" s="61"/>
      <c r="O203" s="61"/>
      <c r="P203" s="61"/>
      <c r="Q203" s="61"/>
      <c r="R203" s="61"/>
      <c r="S203" s="61"/>
      <c r="T203" s="62"/>
      <c r="U203" s="62"/>
    </row>
    <row r="204" spans="1:21" ht="16.5" x14ac:dyDescent="0.25">
      <c r="A204" s="55"/>
      <c r="B204" s="56"/>
      <c r="C204" s="56"/>
      <c r="D204" s="56"/>
      <c r="E204" s="57"/>
      <c r="F204" s="58"/>
      <c r="G204" s="58"/>
      <c r="H204" s="58"/>
      <c r="I204" s="59"/>
      <c r="J204" s="59"/>
      <c r="K204" s="59"/>
      <c r="L204" s="60"/>
      <c r="M204" s="60"/>
      <c r="N204" s="61"/>
      <c r="O204" s="61"/>
      <c r="P204" s="61"/>
      <c r="Q204" s="61"/>
      <c r="R204" s="61"/>
      <c r="S204" s="61"/>
      <c r="T204" s="62"/>
      <c r="U204" s="62"/>
    </row>
    <row r="205" spans="1:21" ht="16.5" x14ac:dyDescent="0.25">
      <c r="A205" s="55"/>
      <c r="B205" s="56"/>
      <c r="C205" s="56"/>
      <c r="D205" s="56"/>
      <c r="E205" s="57"/>
      <c r="F205" s="58"/>
      <c r="G205" s="58"/>
      <c r="H205" s="58"/>
      <c r="I205" s="59"/>
      <c r="J205" s="59"/>
      <c r="K205" s="59"/>
      <c r="L205" s="60"/>
      <c r="M205" s="60"/>
      <c r="N205" s="61"/>
      <c r="O205" s="61"/>
      <c r="P205" s="61"/>
      <c r="Q205" s="61"/>
      <c r="R205" s="61"/>
      <c r="S205" s="61"/>
      <c r="T205" s="62"/>
      <c r="U205" s="62"/>
    </row>
    <row r="206" spans="1:21" ht="16.5" x14ac:dyDescent="0.25">
      <c r="A206" s="55"/>
      <c r="B206" s="56"/>
      <c r="C206" s="56"/>
      <c r="D206" s="56"/>
      <c r="E206" s="57"/>
      <c r="F206" s="58"/>
      <c r="G206" s="58"/>
      <c r="H206" s="58"/>
      <c r="I206" s="59"/>
      <c r="J206" s="59"/>
      <c r="K206" s="59"/>
      <c r="L206" s="60"/>
      <c r="M206" s="60"/>
      <c r="N206" s="59"/>
      <c r="O206" s="61"/>
      <c r="P206" s="61"/>
      <c r="Q206" s="61"/>
      <c r="R206" s="61"/>
      <c r="S206" s="61"/>
      <c r="T206" s="62"/>
      <c r="U206" s="62"/>
    </row>
    <row r="207" spans="1:21" ht="16.5" x14ac:dyDescent="0.25">
      <c r="A207" s="55"/>
      <c r="B207" s="56"/>
      <c r="C207" s="56"/>
      <c r="D207" s="56"/>
      <c r="E207" s="57"/>
      <c r="F207" s="58"/>
      <c r="G207" s="58"/>
      <c r="H207" s="58"/>
      <c r="I207" s="59"/>
      <c r="J207" s="59"/>
      <c r="K207" s="59"/>
      <c r="L207" s="60"/>
      <c r="M207" s="60"/>
      <c r="N207" s="61"/>
      <c r="O207" s="61"/>
      <c r="P207" s="61"/>
      <c r="Q207" s="61"/>
      <c r="R207" s="61"/>
      <c r="S207" s="61"/>
      <c r="T207" s="62"/>
      <c r="U207" s="62"/>
    </row>
    <row r="208" spans="1:21" ht="16.5" x14ac:dyDescent="0.25">
      <c r="A208" s="55"/>
      <c r="B208" s="56"/>
      <c r="C208" s="56"/>
      <c r="D208" s="56"/>
      <c r="E208" s="57"/>
      <c r="F208" s="58"/>
      <c r="G208" s="58"/>
      <c r="H208" s="58"/>
      <c r="I208" s="59"/>
      <c r="J208" s="59"/>
      <c r="K208" s="59"/>
      <c r="L208" s="60"/>
      <c r="M208" s="60"/>
      <c r="N208" s="61"/>
      <c r="O208" s="61"/>
      <c r="P208" s="61"/>
      <c r="Q208" s="61"/>
      <c r="R208" s="61"/>
      <c r="S208" s="61"/>
      <c r="T208" s="62"/>
      <c r="U208" s="62"/>
    </row>
    <row r="209" spans="1:21" ht="16.5" x14ac:dyDescent="0.25">
      <c r="A209" s="55"/>
      <c r="B209" s="56"/>
      <c r="C209" s="56"/>
      <c r="D209" s="56"/>
      <c r="E209" s="57"/>
      <c r="F209" s="58"/>
      <c r="G209" s="58"/>
      <c r="H209" s="58"/>
      <c r="I209" s="59"/>
      <c r="J209" s="59"/>
      <c r="K209" s="59"/>
      <c r="L209" s="60"/>
      <c r="M209" s="60"/>
      <c r="N209" s="61"/>
      <c r="O209" s="61"/>
      <c r="P209" s="61"/>
      <c r="Q209" s="61"/>
      <c r="R209" s="61"/>
      <c r="S209" s="61"/>
      <c r="T209" s="62"/>
      <c r="U209" s="62"/>
    </row>
    <row r="210" spans="1:21" ht="16.5" x14ac:dyDescent="0.25">
      <c r="A210" s="55"/>
      <c r="B210" s="56"/>
      <c r="C210" s="56"/>
      <c r="D210" s="56"/>
      <c r="E210" s="57"/>
      <c r="F210" s="58"/>
      <c r="G210" s="58"/>
      <c r="H210" s="58"/>
      <c r="I210" s="59"/>
      <c r="J210" s="59"/>
      <c r="K210" s="59"/>
      <c r="L210" s="60"/>
      <c r="M210" s="60"/>
      <c r="N210" s="61"/>
      <c r="O210" s="61"/>
      <c r="P210" s="61"/>
      <c r="Q210" s="61"/>
      <c r="R210" s="61"/>
      <c r="S210" s="61"/>
      <c r="T210" s="62"/>
      <c r="U210" s="62"/>
    </row>
    <row r="211" spans="1:21" ht="16.5" x14ac:dyDescent="0.25">
      <c r="A211" s="55"/>
      <c r="B211" s="56"/>
      <c r="C211" s="56"/>
      <c r="D211" s="56"/>
      <c r="E211" s="57"/>
      <c r="F211" s="58"/>
      <c r="G211" s="58"/>
      <c r="H211" s="58"/>
      <c r="I211" s="59"/>
      <c r="J211" s="59"/>
      <c r="K211" s="59"/>
      <c r="L211" s="60"/>
      <c r="M211" s="60"/>
      <c r="N211" s="61"/>
      <c r="O211" s="61"/>
      <c r="P211" s="61"/>
      <c r="Q211" s="61"/>
      <c r="R211" s="61"/>
      <c r="S211" s="61"/>
      <c r="T211" s="62"/>
      <c r="U211" s="62"/>
    </row>
    <row r="212" spans="1:21" ht="16.5" x14ac:dyDescent="0.25">
      <c r="A212" s="55"/>
      <c r="B212" s="56"/>
      <c r="C212" s="56"/>
      <c r="D212" s="56"/>
      <c r="E212" s="57"/>
      <c r="F212" s="58"/>
      <c r="G212" s="58"/>
      <c r="H212" s="58"/>
      <c r="I212" s="59"/>
      <c r="J212" s="59"/>
      <c r="K212" s="59"/>
      <c r="L212" s="60"/>
      <c r="M212" s="60"/>
      <c r="N212" s="61"/>
      <c r="O212" s="61"/>
      <c r="P212" s="61"/>
      <c r="Q212" s="61"/>
      <c r="R212" s="61"/>
      <c r="S212" s="61"/>
      <c r="T212" s="62"/>
      <c r="U212" s="62"/>
    </row>
    <row r="213" spans="1:21" ht="16.5" x14ac:dyDescent="0.25">
      <c r="A213" s="55"/>
      <c r="B213" s="56"/>
      <c r="C213" s="56"/>
      <c r="D213" s="56"/>
      <c r="E213" s="57"/>
      <c r="F213" s="58"/>
      <c r="G213" s="58"/>
      <c r="H213" s="58"/>
      <c r="I213" s="59"/>
      <c r="J213" s="59"/>
      <c r="K213" s="59"/>
      <c r="L213" s="60"/>
      <c r="M213" s="60"/>
      <c r="N213" s="61"/>
      <c r="O213" s="61"/>
      <c r="P213" s="61"/>
      <c r="Q213" s="61"/>
      <c r="R213" s="61"/>
      <c r="S213" s="61"/>
      <c r="T213" s="62"/>
      <c r="U213" s="62"/>
    </row>
    <row r="214" spans="1:21" ht="16.5" x14ac:dyDescent="0.25">
      <c r="A214" s="55"/>
      <c r="B214" s="56"/>
      <c r="C214" s="56"/>
      <c r="D214" s="56"/>
      <c r="E214" s="57"/>
      <c r="F214" s="58"/>
      <c r="G214" s="58"/>
      <c r="H214" s="58"/>
      <c r="I214" s="59"/>
      <c r="J214" s="59"/>
      <c r="K214" s="59"/>
      <c r="L214" s="60"/>
      <c r="M214" s="60"/>
      <c r="N214" s="61"/>
      <c r="O214" s="61"/>
      <c r="P214" s="61"/>
      <c r="Q214" s="61"/>
      <c r="R214" s="61"/>
      <c r="S214" s="61"/>
      <c r="T214" s="62"/>
      <c r="U214" s="62"/>
    </row>
    <row r="215" spans="1:21" ht="16.5" x14ac:dyDescent="0.25">
      <c r="A215" s="55"/>
      <c r="B215" s="56"/>
      <c r="C215" s="56"/>
      <c r="D215" s="56"/>
      <c r="E215" s="57"/>
      <c r="F215" s="58"/>
      <c r="G215" s="58"/>
      <c r="H215" s="58"/>
      <c r="I215" s="59"/>
      <c r="J215" s="59"/>
      <c r="K215" s="59"/>
      <c r="L215" s="60"/>
      <c r="M215" s="60"/>
      <c r="N215" s="61"/>
      <c r="O215" s="61"/>
      <c r="P215" s="61"/>
      <c r="Q215" s="61"/>
      <c r="R215" s="61"/>
      <c r="S215" s="61"/>
      <c r="T215" s="62"/>
      <c r="U215" s="62"/>
    </row>
    <row r="216" spans="1:21" ht="16.5" x14ac:dyDescent="0.25">
      <c r="A216" s="55"/>
      <c r="B216" s="56"/>
      <c r="C216" s="56"/>
      <c r="D216" s="56"/>
      <c r="E216" s="57"/>
      <c r="F216" s="58"/>
      <c r="G216" s="58"/>
      <c r="H216" s="58"/>
      <c r="I216" s="59"/>
      <c r="J216" s="59"/>
      <c r="K216" s="59"/>
      <c r="L216" s="60"/>
      <c r="M216" s="60"/>
      <c r="N216" s="61"/>
      <c r="O216" s="61"/>
      <c r="P216" s="61"/>
      <c r="Q216" s="61"/>
      <c r="R216" s="61"/>
      <c r="S216" s="61"/>
      <c r="T216" s="62"/>
      <c r="U216" s="62"/>
    </row>
    <row r="217" spans="1:21" ht="16.5" x14ac:dyDescent="0.25">
      <c r="A217" s="55"/>
      <c r="B217" s="56"/>
      <c r="C217" s="56"/>
      <c r="D217" s="56"/>
      <c r="E217" s="57"/>
      <c r="F217" s="58"/>
      <c r="G217" s="58"/>
      <c r="H217" s="58"/>
      <c r="I217" s="59"/>
      <c r="J217" s="59"/>
      <c r="K217" s="59"/>
      <c r="L217" s="60"/>
      <c r="M217" s="60"/>
      <c r="N217" s="61"/>
      <c r="O217" s="61"/>
      <c r="P217" s="61"/>
      <c r="Q217" s="61"/>
      <c r="R217" s="61"/>
      <c r="S217" s="61"/>
      <c r="T217" s="62"/>
      <c r="U217" s="62"/>
    </row>
    <row r="218" spans="1:21" ht="16.5" x14ac:dyDescent="0.25">
      <c r="A218" s="55"/>
      <c r="B218" s="56"/>
      <c r="C218" s="56"/>
      <c r="D218" s="56"/>
      <c r="E218" s="57"/>
      <c r="F218" s="58"/>
      <c r="G218" s="58"/>
      <c r="H218" s="58"/>
      <c r="I218" s="59"/>
      <c r="J218" s="59"/>
      <c r="K218" s="59"/>
      <c r="L218" s="60"/>
      <c r="M218" s="60"/>
      <c r="N218" s="61"/>
      <c r="O218" s="61"/>
      <c r="P218" s="61"/>
      <c r="Q218" s="61"/>
      <c r="R218" s="61"/>
      <c r="S218" s="61"/>
      <c r="T218" s="62"/>
      <c r="U218" s="62"/>
    </row>
    <row r="219" spans="1:21" ht="16.5" x14ac:dyDescent="0.25">
      <c r="A219" s="55"/>
      <c r="B219" s="56"/>
      <c r="C219" s="56"/>
      <c r="D219" s="56"/>
      <c r="E219" s="57"/>
      <c r="F219" s="58"/>
      <c r="G219" s="58"/>
      <c r="H219" s="58"/>
      <c r="I219" s="59"/>
      <c r="J219" s="59"/>
      <c r="K219" s="59"/>
      <c r="L219" s="60"/>
      <c r="M219" s="60"/>
      <c r="N219" s="61"/>
      <c r="O219" s="61"/>
      <c r="P219" s="61"/>
      <c r="Q219" s="61"/>
      <c r="R219" s="61"/>
      <c r="S219" s="61"/>
      <c r="T219" s="62"/>
      <c r="U219" s="62"/>
    </row>
    <row r="220" spans="1:21" ht="16.5" x14ac:dyDescent="0.25">
      <c r="A220" s="55"/>
      <c r="B220" s="56"/>
      <c r="C220" s="56"/>
      <c r="D220" s="56"/>
      <c r="E220" s="57"/>
      <c r="F220" s="58"/>
      <c r="G220" s="58"/>
      <c r="H220" s="58"/>
      <c r="I220" s="59"/>
      <c r="J220" s="59"/>
      <c r="K220" s="59"/>
      <c r="L220" s="60"/>
      <c r="M220" s="60"/>
      <c r="N220" s="61"/>
      <c r="O220" s="61"/>
      <c r="P220" s="61"/>
      <c r="Q220" s="61"/>
      <c r="R220" s="61"/>
      <c r="S220" s="61"/>
      <c r="T220" s="62"/>
      <c r="U220" s="62"/>
    </row>
    <row r="221" spans="1:21" ht="16.5" x14ac:dyDescent="0.25">
      <c r="A221" s="55"/>
      <c r="B221" s="56"/>
      <c r="C221" s="56"/>
      <c r="D221" s="56"/>
      <c r="E221" s="57"/>
      <c r="F221" s="58"/>
      <c r="G221" s="58"/>
      <c r="H221" s="58"/>
      <c r="I221" s="59"/>
      <c r="J221" s="59"/>
      <c r="K221" s="59"/>
      <c r="L221" s="60"/>
      <c r="M221" s="60"/>
      <c r="N221" s="61"/>
      <c r="O221" s="61"/>
      <c r="P221" s="61"/>
      <c r="Q221" s="61"/>
      <c r="R221" s="61"/>
      <c r="S221" s="61"/>
      <c r="T221" s="62"/>
      <c r="U221" s="62"/>
    </row>
    <row r="222" spans="1:21" ht="16.5" x14ac:dyDescent="0.25">
      <c r="A222" s="55"/>
      <c r="B222" s="56"/>
      <c r="C222" s="56"/>
      <c r="D222" s="56"/>
      <c r="E222" s="57"/>
      <c r="F222" s="58"/>
      <c r="G222" s="58"/>
      <c r="H222" s="58"/>
      <c r="I222" s="59"/>
      <c r="J222" s="59"/>
      <c r="K222" s="59"/>
      <c r="L222" s="60"/>
      <c r="M222" s="60"/>
      <c r="N222" s="61"/>
      <c r="O222" s="61"/>
      <c r="P222" s="61"/>
      <c r="Q222" s="61"/>
      <c r="R222" s="61"/>
      <c r="S222" s="61"/>
      <c r="T222" s="62"/>
      <c r="U222" s="62"/>
    </row>
    <row r="223" spans="1:21" ht="16.5" x14ac:dyDescent="0.25">
      <c r="A223" s="55"/>
      <c r="B223" s="56"/>
      <c r="C223" s="56"/>
      <c r="D223" s="56"/>
      <c r="E223" s="57"/>
      <c r="F223" s="58"/>
      <c r="G223" s="58"/>
      <c r="H223" s="58"/>
      <c r="I223" s="59"/>
      <c r="J223" s="59"/>
      <c r="K223" s="59"/>
      <c r="L223" s="60"/>
      <c r="M223" s="60"/>
      <c r="N223" s="61"/>
      <c r="O223" s="61"/>
      <c r="P223" s="61"/>
      <c r="Q223" s="61"/>
      <c r="R223" s="61"/>
      <c r="S223" s="61"/>
      <c r="T223" s="62"/>
      <c r="U223" s="62"/>
    </row>
    <row r="224" spans="1:21" ht="16.5" x14ac:dyDescent="0.25">
      <c r="A224" s="55"/>
      <c r="B224" s="56"/>
      <c r="C224" s="56"/>
      <c r="D224" s="56"/>
      <c r="E224" s="57"/>
      <c r="F224" s="58"/>
      <c r="G224" s="58"/>
      <c r="H224" s="58"/>
      <c r="I224" s="59"/>
      <c r="J224" s="59"/>
      <c r="K224" s="59"/>
      <c r="L224" s="60"/>
      <c r="M224" s="60"/>
      <c r="N224" s="61"/>
      <c r="O224" s="61"/>
      <c r="P224" s="61"/>
      <c r="Q224" s="61"/>
      <c r="R224" s="61"/>
      <c r="S224" s="61"/>
      <c r="T224" s="62"/>
      <c r="U224" s="62"/>
    </row>
    <row r="225" spans="1:21" ht="16.5" x14ac:dyDescent="0.25">
      <c r="A225" s="55"/>
      <c r="B225" s="56"/>
      <c r="C225" s="56"/>
      <c r="D225" s="56"/>
      <c r="E225" s="57"/>
      <c r="F225" s="58"/>
      <c r="G225" s="58"/>
      <c r="H225" s="58"/>
      <c r="I225" s="59"/>
      <c r="J225" s="59"/>
      <c r="K225" s="59"/>
      <c r="L225" s="60"/>
      <c r="M225" s="60"/>
      <c r="N225" s="61"/>
      <c r="O225" s="61"/>
      <c r="P225" s="61"/>
      <c r="Q225" s="61"/>
      <c r="R225" s="61"/>
      <c r="S225" s="61"/>
      <c r="T225" s="62"/>
      <c r="U225" s="62"/>
    </row>
    <row r="226" spans="1:21" ht="16.5" x14ac:dyDescent="0.25">
      <c r="A226" s="55"/>
      <c r="B226" s="56"/>
      <c r="C226" s="56"/>
      <c r="D226" s="56"/>
      <c r="E226" s="57"/>
      <c r="F226" s="58"/>
      <c r="G226" s="58"/>
      <c r="H226" s="58"/>
      <c r="I226" s="59"/>
      <c r="J226" s="59"/>
      <c r="K226" s="59"/>
      <c r="L226" s="60"/>
      <c r="M226" s="60"/>
      <c r="N226" s="61"/>
      <c r="O226" s="61"/>
      <c r="P226" s="61"/>
      <c r="Q226" s="61"/>
      <c r="R226" s="61"/>
      <c r="S226" s="61"/>
      <c r="T226" s="62"/>
      <c r="U226" s="62"/>
    </row>
    <row r="227" spans="1:21" ht="16.5" x14ac:dyDescent="0.25">
      <c r="A227" s="55"/>
      <c r="B227" s="56"/>
      <c r="C227" s="56"/>
      <c r="D227" s="56"/>
      <c r="E227" s="57"/>
      <c r="F227" s="58"/>
      <c r="G227" s="58"/>
      <c r="H227" s="58"/>
      <c r="I227" s="59"/>
      <c r="J227" s="59"/>
      <c r="K227" s="59"/>
      <c r="L227" s="60"/>
      <c r="M227" s="60"/>
      <c r="N227" s="61"/>
      <c r="O227" s="61"/>
      <c r="P227" s="61"/>
      <c r="Q227" s="61"/>
      <c r="R227" s="61"/>
      <c r="S227" s="61"/>
      <c r="T227" s="62"/>
      <c r="U227" s="62"/>
    </row>
    <row r="228" spans="1:21" ht="16.5" x14ac:dyDescent="0.25">
      <c r="A228" s="55"/>
      <c r="B228" s="56"/>
      <c r="C228" s="56"/>
      <c r="D228" s="56"/>
      <c r="E228" s="57"/>
      <c r="F228" s="58"/>
      <c r="G228" s="58"/>
      <c r="H228" s="58"/>
      <c r="I228" s="59"/>
      <c r="J228" s="59"/>
      <c r="K228" s="59"/>
      <c r="L228" s="60"/>
      <c r="M228" s="60"/>
      <c r="N228" s="61"/>
      <c r="O228" s="61"/>
      <c r="P228" s="61"/>
      <c r="Q228" s="61"/>
      <c r="R228" s="61"/>
      <c r="S228" s="61"/>
      <c r="T228" s="62"/>
      <c r="U228" s="62"/>
    </row>
    <row r="229" spans="1:21" ht="16.5" x14ac:dyDescent="0.25">
      <c r="A229" s="55"/>
      <c r="B229" s="56"/>
      <c r="C229" s="56"/>
      <c r="D229" s="56"/>
      <c r="E229" s="57"/>
      <c r="F229" s="58"/>
      <c r="G229" s="58"/>
      <c r="H229" s="58"/>
      <c r="I229" s="59"/>
      <c r="J229" s="59"/>
      <c r="K229" s="59"/>
      <c r="L229" s="60"/>
      <c r="M229" s="60"/>
      <c r="N229" s="61"/>
      <c r="O229" s="61"/>
      <c r="P229" s="61"/>
      <c r="Q229" s="61"/>
      <c r="R229" s="61"/>
      <c r="S229" s="61"/>
      <c r="T229" s="62"/>
      <c r="U229" s="62"/>
    </row>
    <row r="230" spans="1:21" ht="16.5" x14ac:dyDescent="0.25">
      <c r="A230" s="55"/>
      <c r="B230" s="56"/>
      <c r="C230" s="56"/>
      <c r="D230" s="56"/>
      <c r="E230" s="57"/>
      <c r="F230" s="58"/>
      <c r="G230" s="58"/>
      <c r="H230" s="58"/>
      <c r="I230" s="59"/>
      <c r="J230" s="59"/>
      <c r="K230" s="59"/>
      <c r="L230" s="60"/>
      <c r="M230" s="60"/>
      <c r="N230" s="61"/>
      <c r="O230" s="61"/>
      <c r="P230" s="61"/>
      <c r="Q230" s="61"/>
      <c r="R230" s="61"/>
      <c r="S230" s="61"/>
      <c r="T230" s="62"/>
      <c r="U230" s="62"/>
    </row>
    <row r="231" spans="1:21" ht="16.5" x14ac:dyDescent="0.25">
      <c r="A231" s="55"/>
      <c r="B231" s="56"/>
      <c r="C231" s="56"/>
      <c r="D231" s="56"/>
      <c r="E231" s="57"/>
      <c r="F231" s="58"/>
      <c r="G231" s="58"/>
      <c r="H231" s="58"/>
      <c r="I231" s="59"/>
      <c r="J231" s="59"/>
      <c r="K231" s="59"/>
      <c r="L231" s="60"/>
      <c r="M231" s="60"/>
      <c r="N231" s="61"/>
      <c r="O231" s="61"/>
      <c r="P231" s="61"/>
      <c r="Q231" s="61"/>
      <c r="R231" s="61"/>
      <c r="S231" s="61"/>
      <c r="T231" s="62"/>
      <c r="U231" s="62"/>
    </row>
    <row r="232" spans="1:21" ht="16.5" x14ac:dyDescent="0.25">
      <c r="A232" s="55"/>
      <c r="B232" s="56"/>
      <c r="C232" s="56"/>
      <c r="D232" s="56"/>
      <c r="E232" s="57"/>
      <c r="F232" s="58"/>
      <c r="G232" s="58"/>
      <c r="H232" s="58"/>
      <c r="I232" s="59"/>
      <c r="J232" s="59"/>
      <c r="K232" s="59"/>
      <c r="L232" s="60"/>
      <c r="M232" s="60"/>
      <c r="N232" s="61"/>
      <c r="O232" s="61"/>
      <c r="P232" s="61"/>
      <c r="Q232" s="61"/>
      <c r="R232" s="61"/>
      <c r="S232" s="61"/>
      <c r="T232" s="62"/>
      <c r="U232" s="62"/>
    </row>
    <row r="233" spans="1:21" ht="16.5" x14ac:dyDescent="0.25">
      <c r="A233" s="55"/>
      <c r="B233" s="56"/>
      <c r="C233" s="56"/>
      <c r="D233" s="56"/>
      <c r="E233" s="57"/>
      <c r="F233" s="58"/>
      <c r="G233" s="58"/>
      <c r="H233" s="58"/>
      <c r="I233" s="59"/>
      <c r="J233" s="59"/>
      <c r="K233" s="59"/>
      <c r="L233" s="60"/>
      <c r="M233" s="60"/>
      <c r="N233" s="61"/>
      <c r="O233" s="61"/>
      <c r="P233" s="61"/>
      <c r="Q233" s="61"/>
      <c r="R233" s="61"/>
      <c r="S233" s="61"/>
      <c r="T233" s="62"/>
      <c r="U233" s="62"/>
    </row>
    <row r="234" spans="1:21" ht="16.5" x14ac:dyDescent="0.25">
      <c r="A234" s="55"/>
      <c r="B234" s="56"/>
      <c r="C234" s="56"/>
      <c r="D234" s="56"/>
      <c r="E234" s="57"/>
      <c r="F234" s="58"/>
      <c r="G234" s="58"/>
      <c r="H234" s="58"/>
      <c r="I234" s="59"/>
      <c r="J234" s="59"/>
      <c r="K234" s="59"/>
      <c r="L234" s="60"/>
      <c r="M234" s="60"/>
      <c r="N234" s="61"/>
      <c r="O234" s="61"/>
      <c r="P234" s="61"/>
      <c r="Q234" s="61"/>
      <c r="R234" s="61"/>
      <c r="S234" s="61"/>
      <c r="T234" s="62"/>
      <c r="U234" s="62"/>
    </row>
    <row r="235" spans="1:21" ht="16.5" x14ac:dyDescent="0.25">
      <c r="A235" s="55"/>
      <c r="B235" s="56"/>
      <c r="C235" s="56"/>
      <c r="D235" s="56"/>
      <c r="E235" s="57"/>
      <c r="F235" s="58"/>
      <c r="G235" s="58"/>
      <c r="H235" s="58"/>
      <c r="I235" s="59"/>
      <c r="J235" s="59"/>
      <c r="K235" s="59"/>
      <c r="L235" s="60"/>
      <c r="M235" s="60"/>
      <c r="N235" s="61"/>
      <c r="O235" s="61"/>
      <c r="P235" s="61"/>
      <c r="Q235" s="61"/>
      <c r="R235" s="61"/>
      <c r="S235" s="61"/>
      <c r="T235" s="62"/>
      <c r="U235" s="62"/>
    </row>
    <row r="236" spans="1:21" ht="16.5" x14ac:dyDescent="0.25">
      <c r="A236" s="55"/>
      <c r="B236" s="56"/>
      <c r="C236" s="56"/>
      <c r="D236" s="56"/>
      <c r="E236" s="57"/>
      <c r="F236" s="58"/>
      <c r="G236" s="58"/>
      <c r="H236" s="58"/>
      <c r="I236" s="59"/>
      <c r="J236" s="59"/>
      <c r="K236" s="59"/>
      <c r="L236" s="60"/>
      <c r="M236" s="60"/>
      <c r="N236" s="61"/>
      <c r="O236" s="61"/>
      <c r="P236" s="61"/>
      <c r="Q236" s="61"/>
      <c r="R236" s="61"/>
      <c r="S236" s="61"/>
      <c r="T236" s="62"/>
      <c r="U236" s="62"/>
    </row>
    <row r="237" spans="1:21" ht="16.5" x14ac:dyDescent="0.25">
      <c r="A237" s="55"/>
      <c r="B237" s="56"/>
      <c r="C237" s="56"/>
      <c r="D237" s="56"/>
      <c r="E237" s="57"/>
      <c r="F237" s="58"/>
      <c r="G237" s="58"/>
      <c r="H237" s="58"/>
      <c r="I237" s="59"/>
      <c r="J237" s="59"/>
      <c r="K237" s="59"/>
      <c r="L237" s="60"/>
      <c r="M237" s="60"/>
      <c r="N237" s="61"/>
      <c r="O237" s="61"/>
      <c r="P237" s="61"/>
      <c r="Q237" s="61"/>
      <c r="R237" s="61"/>
      <c r="S237" s="61"/>
      <c r="T237" s="62"/>
      <c r="U237" s="62"/>
    </row>
    <row r="238" spans="1:21" ht="16.5" x14ac:dyDescent="0.25">
      <c r="A238" s="55"/>
      <c r="B238" s="56"/>
      <c r="C238" s="56"/>
      <c r="D238" s="56"/>
      <c r="E238" s="57"/>
      <c r="F238" s="58"/>
      <c r="G238" s="58"/>
      <c r="H238" s="58"/>
      <c r="I238" s="59"/>
      <c r="J238" s="59"/>
      <c r="K238" s="59"/>
      <c r="L238" s="60"/>
      <c r="M238" s="60"/>
      <c r="N238" s="61"/>
      <c r="O238" s="61"/>
      <c r="P238" s="61"/>
      <c r="Q238" s="61"/>
      <c r="R238" s="61"/>
      <c r="S238" s="61"/>
      <c r="T238" s="62"/>
      <c r="U238" s="62"/>
    </row>
    <row r="239" spans="1:21" ht="16.5" x14ac:dyDescent="0.25">
      <c r="A239" s="55"/>
      <c r="B239" s="56"/>
      <c r="C239" s="56"/>
      <c r="D239" s="56"/>
      <c r="E239" s="57"/>
      <c r="F239" s="58"/>
      <c r="G239" s="58"/>
      <c r="H239" s="58"/>
      <c r="I239" s="59"/>
      <c r="J239" s="59"/>
      <c r="K239" s="59"/>
      <c r="L239" s="60"/>
      <c r="M239" s="60"/>
      <c r="N239" s="61"/>
      <c r="O239" s="61"/>
      <c r="P239" s="61"/>
      <c r="Q239" s="61"/>
      <c r="R239" s="61"/>
      <c r="S239" s="61"/>
      <c r="T239" s="62"/>
      <c r="U239" s="62"/>
    </row>
    <row r="240" spans="1:21" ht="16.5" x14ac:dyDescent="0.25">
      <c r="A240" s="55"/>
      <c r="B240" s="56"/>
      <c r="C240" s="56"/>
      <c r="D240" s="56"/>
      <c r="E240" s="57"/>
      <c r="F240" s="58"/>
      <c r="G240" s="58"/>
      <c r="H240" s="58"/>
      <c r="I240" s="59"/>
      <c r="J240" s="59"/>
      <c r="K240" s="59"/>
      <c r="L240" s="60"/>
      <c r="M240" s="60"/>
      <c r="N240" s="61"/>
      <c r="O240" s="61"/>
      <c r="P240" s="61"/>
      <c r="Q240" s="61"/>
      <c r="R240" s="61"/>
      <c r="S240" s="61"/>
      <c r="T240" s="62"/>
      <c r="U240" s="62"/>
    </row>
    <row r="241" spans="1:21" ht="16.5" x14ac:dyDescent="0.25">
      <c r="A241" s="55"/>
      <c r="B241" s="56"/>
      <c r="C241" s="56"/>
      <c r="D241" s="56"/>
      <c r="E241" s="57"/>
      <c r="F241" s="58"/>
      <c r="G241" s="58"/>
      <c r="H241" s="58"/>
      <c r="I241" s="59"/>
      <c r="J241" s="59"/>
      <c r="K241" s="59"/>
      <c r="L241" s="60"/>
      <c r="M241" s="60"/>
      <c r="N241" s="61"/>
      <c r="O241" s="61"/>
      <c r="P241" s="61"/>
      <c r="Q241" s="61"/>
      <c r="R241" s="61"/>
      <c r="S241" s="61"/>
      <c r="T241" s="62"/>
      <c r="U241" s="62"/>
    </row>
    <row r="242" spans="1:21" ht="16.5" x14ac:dyDescent="0.25">
      <c r="A242" s="55"/>
      <c r="B242" s="56"/>
      <c r="C242" s="56"/>
      <c r="D242" s="56"/>
      <c r="E242" s="57"/>
      <c r="F242" s="58"/>
      <c r="G242" s="58"/>
      <c r="H242" s="58"/>
      <c r="I242" s="59"/>
      <c r="J242" s="59"/>
      <c r="K242" s="59"/>
      <c r="L242" s="60"/>
      <c r="M242" s="60"/>
      <c r="N242" s="61"/>
      <c r="O242" s="61"/>
      <c r="P242" s="61"/>
      <c r="Q242" s="61"/>
      <c r="R242" s="61"/>
      <c r="S242" s="61"/>
      <c r="T242" s="62"/>
      <c r="U242" s="62"/>
    </row>
    <row r="243" spans="1:21" ht="16.5" x14ac:dyDescent="0.25">
      <c r="A243" s="55"/>
      <c r="B243" s="56"/>
      <c r="C243" s="56"/>
      <c r="D243" s="56"/>
      <c r="E243" s="57"/>
      <c r="F243" s="58"/>
      <c r="G243" s="58"/>
      <c r="H243" s="58"/>
      <c r="I243" s="59"/>
      <c r="J243" s="59"/>
      <c r="K243" s="59"/>
      <c r="L243" s="60"/>
      <c r="M243" s="60"/>
      <c r="N243" s="61"/>
      <c r="O243" s="61"/>
      <c r="P243" s="61"/>
      <c r="Q243" s="61"/>
      <c r="R243" s="61"/>
      <c r="S243" s="61"/>
      <c r="T243" s="62"/>
      <c r="U243" s="62"/>
    </row>
    <row r="244" spans="1:21" ht="16.5" x14ac:dyDescent="0.25">
      <c r="A244" s="55"/>
      <c r="B244" s="56"/>
      <c r="C244" s="56"/>
      <c r="D244" s="56"/>
      <c r="E244" s="57"/>
      <c r="F244" s="58"/>
      <c r="G244" s="58"/>
      <c r="H244" s="58"/>
      <c r="I244" s="59"/>
      <c r="J244" s="59"/>
      <c r="K244" s="59"/>
      <c r="L244" s="60"/>
      <c r="M244" s="60"/>
      <c r="N244" s="61"/>
      <c r="O244" s="61"/>
      <c r="P244" s="61"/>
      <c r="Q244" s="61"/>
      <c r="R244" s="61"/>
      <c r="S244" s="61"/>
      <c r="T244" s="62"/>
      <c r="U244" s="62"/>
    </row>
    <row r="245" spans="1:21" ht="16.5" x14ac:dyDescent="0.25">
      <c r="A245" s="55"/>
      <c r="B245" s="56"/>
      <c r="C245" s="56"/>
      <c r="D245" s="56"/>
      <c r="E245" s="57"/>
      <c r="F245" s="58"/>
      <c r="G245" s="58"/>
      <c r="H245" s="58"/>
      <c r="I245" s="59"/>
      <c r="J245" s="59"/>
      <c r="K245" s="59"/>
      <c r="L245" s="60"/>
      <c r="M245" s="60"/>
      <c r="N245" s="61"/>
      <c r="O245" s="61"/>
      <c r="P245" s="61"/>
      <c r="Q245" s="61"/>
      <c r="R245" s="61"/>
      <c r="S245" s="61"/>
      <c r="T245" s="62"/>
      <c r="U245" s="62"/>
    </row>
    <row r="246" spans="1:21" ht="16.5" x14ac:dyDescent="0.25">
      <c r="A246" s="55"/>
      <c r="B246" s="56"/>
      <c r="C246" s="56"/>
      <c r="D246" s="56"/>
      <c r="E246" s="57"/>
      <c r="F246" s="58"/>
      <c r="G246" s="58"/>
      <c r="H246" s="58"/>
      <c r="I246" s="59"/>
      <c r="J246" s="59"/>
      <c r="K246" s="59"/>
      <c r="L246" s="60"/>
      <c r="M246" s="60"/>
      <c r="N246" s="61"/>
      <c r="O246" s="61"/>
      <c r="P246" s="61"/>
      <c r="Q246" s="61"/>
      <c r="R246" s="61"/>
      <c r="S246" s="61"/>
      <c r="T246" s="62"/>
      <c r="U246" s="62"/>
    </row>
    <row r="247" spans="1:21" ht="16.5" x14ac:dyDescent="0.25">
      <c r="A247" s="55"/>
      <c r="B247" s="56"/>
      <c r="C247" s="56"/>
      <c r="D247" s="56"/>
      <c r="E247" s="57"/>
      <c r="F247" s="58"/>
      <c r="G247" s="58"/>
      <c r="H247" s="58"/>
      <c r="I247" s="59"/>
      <c r="J247" s="59"/>
      <c r="K247" s="59"/>
      <c r="L247" s="60"/>
      <c r="M247" s="60"/>
      <c r="N247" s="61"/>
      <c r="O247" s="61"/>
      <c r="P247" s="61"/>
      <c r="Q247" s="61"/>
      <c r="R247" s="61"/>
      <c r="S247" s="61"/>
      <c r="T247" s="62"/>
      <c r="U247" s="62"/>
    </row>
    <row r="248" spans="1:21" ht="16.5" x14ac:dyDescent="0.25">
      <c r="A248" s="55"/>
      <c r="B248" s="56"/>
      <c r="C248" s="56"/>
      <c r="D248" s="56"/>
      <c r="E248" s="57"/>
      <c r="F248" s="58"/>
      <c r="G248" s="58"/>
      <c r="H248" s="58"/>
      <c r="I248" s="59"/>
      <c r="J248" s="59"/>
      <c r="K248" s="59"/>
      <c r="L248" s="60"/>
      <c r="M248" s="60"/>
      <c r="N248" s="61"/>
      <c r="O248" s="61"/>
      <c r="P248" s="61"/>
      <c r="Q248" s="61"/>
      <c r="R248" s="61"/>
      <c r="S248" s="61"/>
      <c r="T248" s="62"/>
      <c r="U248" s="62"/>
    </row>
    <row r="249" spans="1:21" ht="16.5" x14ac:dyDescent="0.25">
      <c r="A249" s="55"/>
      <c r="B249" s="56"/>
      <c r="C249" s="56"/>
      <c r="D249" s="56"/>
      <c r="E249" s="57"/>
      <c r="F249" s="58"/>
      <c r="G249" s="58"/>
      <c r="H249" s="58"/>
      <c r="I249" s="59"/>
      <c r="J249" s="59"/>
      <c r="K249" s="59"/>
      <c r="L249" s="60"/>
      <c r="M249" s="60"/>
      <c r="N249" s="61"/>
      <c r="O249" s="61"/>
      <c r="P249" s="61"/>
      <c r="Q249" s="61"/>
      <c r="R249" s="61"/>
      <c r="S249" s="61"/>
      <c r="T249" s="62"/>
      <c r="U249" s="62"/>
    </row>
    <row r="250" spans="1:21" ht="16.5" x14ac:dyDescent="0.25">
      <c r="A250" s="55"/>
      <c r="B250" s="56"/>
      <c r="C250" s="56"/>
      <c r="D250" s="56"/>
      <c r="E250" s="57"/>
      <c r="F250" s="58"/>
      <c r="G250" s="58"/>
      <c r="H250" s="58"/>
      <c r="I250" s="59"/>
      <c r="J250" s="59"/>
      <c r="K250" s="59"/>
      <c r="L250" s="60"/>
      <c r="M250" s="60"/>
      <c r="N250" s="61"/>
      <c r="O250" s="61"/>
      <c r="P250" s="61"/>
      <c r="Q250" s="61"/>
      <c r="R250" s="61"/>
      <c r="S250" s="61"/>
      <c r="T250" s="62"/>
      <c r="U250" s="62"/>
    </row>
    <row r="251" spans="1:21" ht="16.5" x14ac:dyDescent="0.25">
      <c r="A251" s="55"/>
      <c r="B251" s="56"/>
      <c r="C251" s="56"/>
      <c r="D251" s="56"/>
      <c r="E251" s="57"/>
      <c r="F251" s="58"/>
      <c r="G251" s="58"/>
      <c r="H251" s="58"/>
      <c r="I251" s="59"/>
      <c r="J251" s="59"/>
      <c r="K251" s="59"/>
      <c r="L251" s="60"/>
      <c r="M251" s="60"/>
      <c r="N251" s="61"/>
      <c r="O251" s="61"/>
      <c r="P251" s="61"/>
      <c r="Q251" s="61"/>
      <c r="R251" s="61"/>
      <c r="S251" s="61"/>
      <c r="T251" s="62"/>
      <c r="U251" s="62"/>
    </row>
    <row r="252" spans="1:21" ht="16.5" x14ac:dyDescent="0.25">
      <c r="A252" s="55"/>
      <c r="B252" s="56"/>
      <c r="C252" s="56"/>
      <c r="D252" s="56"/>
      <c r="E252" s="57"/>
      <c r="F252" s="58"/>
      <c r="G252" s="58"/>
      <c r="H252" s="58"/>
      <c r="I252" s="59"/>
      <c r="J252" s="59"/>
      <c r="K252" s="59"/>
      <c r="L252" s="60"/>
      <c r="M252" s="60"/>
      <c r="N252" s="61"/>
      <c r="O252" s="61"/>
      <c r="P252" s="61"/>
      <c r="Q252" s="61"/>
      <c r="R252" s="61"/>
      <c r="S252" s="61"/>
      <c r="T252" s="62"/>
      <c r="U252" s="62"/>
    </row>
    <row r="253" spans="1:21" ht="16.5" x14ac:dyDescent="0.25">
      <c r="A253" s="55"/>
      <c r="B253" s="56"/>
      <c r="C253" s="56"/>
      <c r="D253" s="56"/>
      <c r="E253" s="57"/>
      <c r="F253" s="58"/>
      <c r="G253" s="58"/>
      <c r="H253" s="58"/>
      <c r="I253" s="59"/>
      <c r="J253" s="59"/>
      <c r="K253" s="59"/>
      <c r="L253" s="60"/>
      <c r="M253" s="60"/>
      <c r="N253" s="61"/>
      <c r="O253" s="61"/>
      <c r="P253" s="61"/>
      <c r="Q253" s="61"/>
      <c r="R253" s="61"/>
      <c r="S253" s="61"/>
      <c r="T253" s="62"/>
      <c r="U253" s="62"/>
    </row>
    <row r="254" spans="1:21" ht="16.5" x14ac:dyDescent="0.25">
      <c r="A254" s="55"/>
      <c r="B254" s="56"/>
      <c r="C254" s="56"/>
      <c r="D254" s="56"/>
      <c r="E254" s="57"/>
      <c r="F254" s="58"/>
      <c r="G254" s="58"/>
      <c r="H254" s="58"/>
      <c r="I254" s="59"/>
      <c r="J254" s="59"/>
      <c r="K254" s="59"/>
      <c r="L254" s="60"/>
      <c r="M254" s="60"/>
      <c r="N254" s="61"/>
      <c r="O254" s="61"/>
      <c r="P254" s="61"/>
      <c r="Q254" s="61"/>
      <c r="R254" s="61"/>
      <c r="S254" s="61"/>
      <c r="T254" s="62"/>
      <c r="U254" s="62"/>
    </row>
    <row r="255" spans="1:21" ht="16.5" x14ac:dyDescent="0.25">
      <c r="A255" s="55"/>
      <c r="B255" s="56"/>
      <c r="C255" s="56"/>
      <c r="D255" s="56"/>
      <c r="E255" s="57"/>
      <c r="F255" s="58"/>
      <c r="G255" s="58"/>
      <c r="H255" s="58"/>
      <c r="I255" s="59"/>
      <c r="J255" s="59"/>
      <c r="K255" s="59"/>
      <c r="L255" s="60"/>
      <c r="M255" s="60"/>
      <c r="N255" s="61"/>
      <c r="O255" s="61"/>
      <c r="P255" s="61"/>
      <c r="Q255" s="61"/>
      <c r="R255" s="61"/>
      <c r="S255" s="61"/>
      <c r="T255" s="62"/>
      <c r="U255" s="62"/>
    </row>
    <row r="256" spans="1:21" ht="16.5" x14ac:dyDescent="0.25">
      <c r="A256" s="55"/>
      <c r="B256" s="56"/>
      <c r="C256" s="56"/>
      <c r="D256" s="56"/>
      <c r="E256" s="57"/>
      <c r="F256" s="58"/>
      <c r="G256" s="58"/>
      <c r="H256" s="58"/>
      <c r="I256" s="59"/>
      <c r="J256" s="59"/>
      <c r="K256" s="59"/>
      <c r="L256" s="60"/>
      <c r="M256" s="60"/>
      <c r="N256" s="61"/>
      <c r="O256" s="61"/>
      <c r="P256" s="61"/>
      <c r="Q256" s="61"/>
      <c r="R256" s="61"/>
      <c r="S256" s="61"/>
      <c r="T256" s="62"/>
      <c r="U256" s="62"/>
    </row>
    <row r="257" spans="1:21" ht="16.5" x14ac:dyDescent="0.25">
      <c r="A257" s="55"/>
      <c r="B257" s="56"/>
      <c r="C257" s="56"/>
      <c r="D257" s="56"/>
      <c r="E257" s="57"/>
      <c r="F257" s="58"/>
      <c r="G257" s="58"/>
      <c r="H257" s="58"/>
      <c r="I257" s="59"/>
      <c r="J257" s="59"/>
      <c r="K257" s="59"/>
      <c r="L257" s="60"/>
      <c r="M257" s="60"/>
      <c r="N257" s="61"/>
      <c r="O257" s="61"/>
      <c r="P257" s="61"/>
      <c r="Q257" s="61"/>
      <c r="R257" s="61"/>
      <c r="S257" s="61"/>
      <c r="T257" s="62"/>
      <c r="U257" s="62"/>
    </row>
    <row r="258" spans="1:21" ht="16.5" x14ac:dyDescent="0.25">
      <c r="A258" s="55"/>
      <c r="B258" s="56"/>
      <c r="C258" s="56"/>
      <c r="D258" s="56"/>
      <c r="E258" s="57"/>
      <c r="F258" s="58"/>
      <c r="G258" s="58"/>
      <c r="H258" s="58"/>
      <c r="I258" s="59"/>
      <c r="J258" s="59"/>
      <c r="K258" s="59"/>
      <c r="L258" s="60"/>
      <c r="M258" s="60"/>
      <c r="N258" s="61"/>
      <c r="O258" s="61"/>
      <c r="P258" s="61"/>
      <c r="Q258" s="61"/>
      <c r="R258" s="61"/>
      <c r="S258" s="61"/>
      <c r="T258" s="62"/>
      <c r="U258" s="62"/>
    </row>
    <row r="259" spans="1:21" ht="16.5" x14ac:dyDescent="0.25">
      <c r="A259" s="55"/>
      <c r="B259" s="56"/>
      <c r="C259" s="56"/>
      <c r="D259" s="56"/>
      <c r="E259" s="57"/>
      <c r="F259" s="58"/>
      <c r="G259" s="58"/>
      <c r="H259" s="58"/>
      <c r="I259" s="59"/>
      <c r="J259" s="59"/>
      <c r="K259" s="59"/>
      <c r="L259" s="60"/>
      <c r="M259" s="60"/>
      <c r="N259" s="61"/>
      <c r="O259" s="61"/>
      <c r="P259" s="61"/>
      <c r="Q259" s="61"/>
      <c r="R259" s="61"/>
      <c r="S259" s="61"/>
      <c r="T259" s="62"/>
      <c r="U259" s="62"/>
    </row>
    <row r="260" spans="1:21" ht="16.5" x14ac:dyDescent="0.25">
      <c r="A260" s="55"/>
      <c r="B260" s="56"/>
      <c r="C260" s="56"/>
      <c r="D260" s="56"/>
      <c r="E260" s="57"/>
      <c r="F260" s="58"/>
      <c r="G260" s="58"/>
      <c r="H260" s="58"/>
      <c r="I260" s="59"/>
      <c r="J260" s="59"/>
      <c r="K260" s="59"/>
      <c r="L260" s="60"/>
      <c r="M260" s="60"/>
      <c r="N260" s="61"/>
      <c r="O260" s="61"/>
      <c r="P260" s="61"/>
      <c r="Q260" s="61"/>
      <c r="R260" s="61"/>
      <c r="S260" s="61"/>
      <c r="T260" s="62"/>
      <c r="U260" s="62"/>
    </row>
    <row r="261" spans="1:21" ht="16.5" x14ac:dyDescent="0.25">
      <c r="A261" s="55"/>
      <c r="B261" s="56"/>
      <c r="C261" s="56"/>
      <c r="D261" s="56"/>
      <c r="E261" s="57"/>
      <c r="F261" s="58"/>
      <c r="G261" s="58"/>
      <c r="H261" s="58"/>
      <c r="I261" s="59"/>
      <c r="J261" s="59"/>
      <c r="K261" s="59"/>
      <c r="L261" s="60"/>
      <c r="M261" s="60"/>
      <c r="N261" s="61"/>
      <c r="O261" s="61"/>
      <c r="P261" s="61"/>
      <c r="Q261" s="61"/>
      <c r="R261" s="61"/>
      <c r="S261" s="61"/>
      <c r="T261" s="62"/>
      <c r="U261" s="62"/>
    </row>
    <row r="262" spans="1:21" ht="16.5" x14ac:dyDescent="0.25">
      <c r="A262" s="55"/>
      <c r="B262" s="56"/>
      <c r="C262" s="56"/>
      <c r="D262" s="56"/>
      <c r="E262" s="57"/>
      <c r="F262" s="58"/>
      <c r="G262" s="58"/>
      <c r="H262" s="58"/>
      <c r="I262" s="59"/>
      <c r="J262" s="59"/>
      <c r="K262" s="59"/>
      <c r="L262" s="60"/>
      <c r="M262" s="60"/>
      <c r="N262" s="61"/>
      <c r="O262" s="61"/>
      <c r="P262" s="61"/>
      <c r="Q262" s="61"/>
      <c r="R262" s="61"/>
      <c r="S262" s="61"/>
      <c r="T262" s="62"/>
      <c r="U262" s="62"/>
    </row>
    <row r="263" spans="1:21" ht="16.5" x14ac:dyDescent="0.25">
      <c r="A263" s="55"/>
      <c r="B263" s="56"/>
      <c r="C263" s="56"/>
      <c r="D263" s="56"/>
      <c r="E263" s="57"/>
      <c r="F263" s="58"/>
      <c r="G263" s="58"/>
      <c r="H263" s="58"/>
      <c r="I263" s="59"/>
      <c r="J263" s="59"/>
      <c r="K263" s="59"/>
      <c r="L263" s="60"/>
      <c r="M263" s="60"/>
      <c r="N263" s="61"/>
      <c r="O263" s="61"/>
      <c r="P263" s="61"/>
      <c r="Q263" s="61"/>
      <c r="R263" s="61"/>
      <c r="S263" s="61"/>
      <c r="T263" s="62"/>
      <c r="U263" s="62"/>
    </row>
    <row r="264" spans="1:21" ht="16.5" x14ac:dyDescent="0.25">
      <c r="A264" s="55"/>
      <c r="B264" s="56"/>
      <c r="C264" s="56"/>
      <c r="D264" s="56"/>
      <c r="E264" s="57"/>
      <c r="F264" s="58"/>
      <c r="G264" s="58"/>
      <c r="H264" s="58"/>
      <c r="I264" s="59"/>
      <c r="J264" s="59"/>
      <c r="K264" s="59"/>
      <c r="L264" s="60"/>
      <c r="M264" s="60"/>
      <c r="N264" s="61"/>
      <c r="O264" s="61"/>
      <c r="P264" s="61"/>
      <c r="Q264" s="61"/>
      <c r="R264" s="61"/>
      <c r="S264" s="61"/>
      <c r="T264" s="62"/>
      <c r="U264" s="62"/>
    </row>
    <row r="265" spans="1:21" ht="16.5" x14ac:dyDescent="0.25">
      <c r="A265" s="55"/>
      <c r="B265" s="56"/>
      <c r="C265" s="56"/>
      <c r="D265" s="56"/>
      <c r="E265" s="57"/>
      <c r="F265" s="58"/>
      <c r="G265" s="58"/>
      <c r="H265" s="58"/>
      <c r="I265" s="59"/>
      <c r="J265" s="59"/>
      <c r="K265" s="59"/>
      <c r="L265" s="60"/>
      <c r="M265" s="60"/>
      <c r="N265" s="61"/>
      <c r="O265" s="61"/>
      <c r="P265" s="61"/>
      <c r="Q265" s="61"/>
      <c r="R265" s="61"/>
      <c r="S265" s="61"/>
      <c r="T265" s="62"/>
      <c r="U265" s="62"/>
    </row>
    <row r="266" spans="1:21" ht="16.5" x14ac:dyDescent="0.25">
      <c r="A266" s="55"/>
      <c r="B266" s="56"/>
      <c r="C266" s="56"/>
      <c r="D266" s="56"/>
      <c r="E266" s="57"/>
      <c r="F266" s="58"/>
      <c r="G266" s="58"/>
      <c r="H266" s="58"/>
      <c r="I266" s="59"/>
      <c r="J266" s="59"/>
      <c r="K266" s="59"/>
      <c r="L266" s="60"/>
      <c r="M266" s="60"/>
      <c r="N266" s="61"/>
      <c r="O266" s="61"/>
      <c r="P266" s="61"/>
      <c r="Q266" s="61"/>
      <c r="R266" s="61"/>
      <c r="S266" s="61"/>
      <c r="T266" s="62"/>
      <c r="U266" s="62"/>
    </row>
    <row r="267" spans="1:21" ht="16.5" x14ac:dyDescent="0.25">
      <c r="A267" s="55"/>
      <c r="B267" s="56"/>
      <c r="C267" s="56"/>
      <c r="D267" s="56"/>
      <c r="E267" s="57"/>
      <c r="F267" s="58"/>
      <c r="G267" s="58"/>
      <c r="H267" s="58"/>
      <c r="I267" s="59"/>
      <c r="J267" s="59"/>
      <c r="K267" s="59"/>
      <c r="L267" s="60"/>
      <c r="M267" s="60"/>
      <c r="N267" s="61"/>
      <c r="O267" s="61"/>
      <c r="P267" s="61"/>
      <c r="Q267" s="61"/>
      <c r="R267" s="61"/>
      <c r="S267" s="61"/>
      <c r="T267" s="62"/>
      <c r="U267" s="62"/>
    </row>
    <row r="268" spans="1:21" ht="16.5" x14ac:dyDescent="0.25">
      <c r="A268" s="55"/>
      <c r="B268" s="56"/>
      <c r="C268" s="56"/>
      <c r="D268" s="56"/>
      <c r="E268" s="57"/>
      <c r="F268" s="58"/>
      <c r="G268" s="58"/>
      <c r="H268" s="58"/>
      <c r="I268" s="59"/>
      <c r="J268" s="59"/>
      <c r="K268" s="59"/>
      <c r="L268" s="60"/>
      <c r="M268" s="60"/>
      <c r="N268" s="61"/>
      <c r="O268" s="61"/>
      <c r="P268" s="61"/>
      <c r="Q268" s="61"/>
      <c r="R268" s="61"/>
      <c r="S268" s="61"/>
      <c r="T268" s="62"/>
      <c r="U268" s="62"/>
    </row>
    <row r="269" spans="1:21" ht="16.5" x14ac:dyDescent="0.25">
      <c r="A269" s="55"/>
      <c r="B269" s="56"/>
      <c r="C269" s="56"/>
      <c r="D269" s="56"/>
      <c r="E269" s="57"/>
      <c r="F269" s="58"/>
      <c r="G269" s="58"/>
      <c r="H269" s="58"/>
      <c r="I269" s="59"/>
      <c r="J269" s="59"/>
      <c r="K269" s="59"/>
      <c r="L269" s="60"/>
      <c r="M269" s="60"/>
      <c r="N269" s="61"/>
      <c r="O269" s="61"/>
      <c r="P269" s="61"/>
      <c r="Q269" s="61"/>
      <c r="R269" s="61"/>
      <c r="S269" s="61"/>
      <c r="T269" s="62"/>
      <c r="U269" s="62"/>
    </row>
    <row r="270" spans="1:21" ht="16.5" x14ac:dyDescent="0.25">
      <c r="A270" s="55"/>
      <c r="B270" s="56"/>
      <c r="C270" s="56"/>
      <c r="D270" s="56"/>
      <c r="E270" s="57"/>
      <c r="F270" s="58"/>
      <c r="G270" s="58"/>
      <c r="H270" s="58"/>
      <c r="I270" s="59"/>
      <c r="J270" s="59"/>
      <c r="K270" s="59"/>
      <c r="L270" s="60"/>
      <c r="M270" s="60"/>
      <c r="N270" s="61"/>
      <c r="O270" s="61"/>
      <c r="P270" s="61"/>
      <c r="Q270" s="61"/>
      <c r="R270" s="61"/>
      <c r="S270" s="61"/>
      <c r="T270" s="62"/>
      <c r="U270" s="62"/>
    </row>
    <row r="271" spans="1:21" ht="16.5" x14ac:dyDescent="0.25">
      <c r="A271" s="55"/>
      <c r="B271" s="56"/>
      <c r="C271" s="56"/>
      <c r="D271" s="56"/>
      <c r="E271" s="57"/>
      <c r="F271" s="58"/>
      <c r="G271" s="58"/>
      <c r="H271" s="58"/>
      <c r="I271" s="59"/>
      <c r="J271" s="59"/>
      <c r="K271" s="59"/>
      <c r="L271" s="60"/>
      <c r="M271" s="60"/>
      <c r="N271" s="61"/>
      <c r="O271" s="61"/>
      <c r="P271" s="61"/>
      <c r="Q271" s="61"/>
      <c r="R271" s="61"/>
      <c r="S271" s="61"/>
      <c r="T271" s="62"/>
      <c r="U271" s="62"/>
    </row>
    <row r="272" spans="1:21" ht="16.5" x14ac:dyDescent="0.25">
      <c r="A272" s="55"/>
      <c r="B272" s="56"/>
      <c r="C272" s="56"/>
      <c r="D272" s="56"/>
      <c r="E272" s="57"/>
      <c r="F272" s="58"/>
      <c r="G272" s="58"/>
      <c r="H272" s="58"/>
      <c r="I272" s="59"/>
      <c r="J272" s="59"/>
      <c r="K272" s="59"/>
      <c r="L272" s="60"/>
      <c r="M272" s="60"/>
      <c r="N272" s="61"/>
      <c r="O272" s="61"/>
      <c r="P272" s="61"/>
      <c r="Q272" s="61"/>
      <c r="R272" s="61"/>
      <c r="S272" s="61"/>
      <c r="T272" s="62"/>
      <c r="U272" s="62"/>
    </row>
    <row r="273" spans="1:21" ht="16.5" x14ac:dyDescent="0.25">
      <c r="A273" s="55"/>
      <c r="B273" s="56"/>
      <c r="C273" s="56"/>
      <c r="D273" s="56"/>
      <c r="E273" s="57"/>
      <c r="F273" s="58"/>
      <c r="G273" s="58"/>
      <c r="H273" s="58"/>
      <c r="I273" s="59"/>
      <c r="J273" s="59"/>
      <c r="K273" s="59"/>
      <c r="L273" s="60"/>
      <c r="M273" s="60"/>
      <c r="N273" s="61"/>
      <c r="O273" s="61"/>
      <c r="P273" s="61"/>
      <c r="Q273" s="61"/>
      <c r="R273" s="61"/>
      <c r="S273" s="61"/>
      <c r="T273" s="62"/>
      <c r="U273" s="62"/>
    </row>
    <row r="274" spans="1:21" ht="16.5" x14ac:dyDescent="0.25">
      <c r="A274" s="55"/>
      <c r="B274" s="56"/>
      <c r="C274" s="56"/>
      <c r="D274" s="56"/>
      <c r="E274" s="57"/>
      <c r="F274" s="58"/>
      <c r="G274" s="58"/>
      <c r="H274" s="58"/>
      <c r="I274" s="59"/>
      <c r="J274" s="59"/>
      <c r="K274" s="59"/>
      <c r="L274" s="60"/>
      <c r="M274" s="60"/>
      <c r="N274" s="61"/>
      <c r="O274" s="61"/>
      <c r="P274" s="61"/>
      <c r="Q274" s="61"/>
      <c r="R274" s="61"/>
      <c r="S274" s="61"/>
      <c r="T274" s="62"/>
      <c r="U274" s="62"/>
    </row>
    <row r="275" spans="1:21" ht="16.5" x14ac:dyDescent="0.25">
      <c r="A275" s="55"/>
      <c r="B275" s="56"/>
      <c r="C275" s="56"/>
      <c r="D275" s="56"/>
      <c r="E275" s="57"/>
      <c r="F275" s="58"/>
      <c r="G275" s="58"/>
      <c r="H275" s="58"/>
      <c r="I275" s="63"/>
      <c r="J275" s="63"/>
      <c r="K275" s="63"/>
      <c r="L275" s="60"/>
      <c r="M275" s="60"/>
      <c r="N275" s="64"/>
      <c r="O275" s="64"/>
      <c r="P275" s="64"/>
      <c r="Q275" s="64"/>
      <c r="R275" s="64"/>
      <c r="S275" s="64"/>
      <c r="T275" s="62"/>
      <c r="U275" s="62"/>
    </row>
    <row r="276" spans="1:21" ht="16.5" x14ac:dyDescent="0.25">
      <c r="A276" s="55"/>
      <c r="B276" s="56"/>
      <c r="C276" s="56"/>
      <c r="D276" s="56"/>
      <c r="E276" s="57"/>
      <c r="F276" s="58"/>
      <c r="G276" s="58"/>
      <c r="H276" s="58"/>
      <c r="I276" s="63"/>
      <c r="J276" s="63"/>
      <c r="K276" s="63"/>
      <c r="L276" s="60"/>
      <c r="M276" s="60"/>
      <c r="N276" s="64"/>
      <c r="O276" s="64"/>
      <c r="P276" s="64"/>
      <c r="Q276" s="64"/>
      <c r="R276" s="64"/>
      <c r="S276" s="64"/>
      <c r="T276" s="62"/>
      <c r="U276" s="62"/>
    </row>
    <row r="277" spans="1:21" ht="16.5" x14ac:dyDescent="0.25">
      <c r="A277" s="55"/>
      <c r="B277" s="56"/>
      <c r="C277" s="56"/>
      <c r="D277" s="56"/>
      <c r="E277" s="57"/>
      <c r="F277" s="58"/>
      <c r="G277" s="58"/>
      <c r="H277" s="58"/>
      <c r="I277" s="63"/>
      <c r="J277" s="63"/>
      <c r="K277" s="63"/>
      <c r="L277" s="60"/>
      <c r="M277" s="60"/>
      <c r="N277" s="64"/>
      <c r="O277" s="64"/>
      <c r="P277" s="64"/>
      <c r="Q277" s="64"/>
      <c r="R277" s="64"/>
      <c r="S277" s="64"/>
      <c r="T277" s="62"/>
      <c r="U277" s="62"/>
    </row>
    <row r="278" spans="1:21" ht="16.5" x14ac:dyDescent="0.25">
      <c r="A278" s="55"/>
      <c r="B278" s="56"/>
      <c r="C278" s="56"/>
      <c r="D278" s="56"/>
      <c r="E278" s="57"/>
      <c r="F278" s="58"/>
      <c r="G278" s="58"/>
      <c r="H278" s="58"/>
      <c r="I278" s="63"/>
      <c r="J278" s="63"/>
      <c r="K278" s="63"/>
      <c r="L278" s="60"/>
      <c r="M278" s="60"/>
      <c r="N278" s="64"/>
      <c r="O278" s="64"/>
      <c r="P278" s="64"/>
      <c r="Q278" s="64"/>
      <c r="R278" s="64"/>
      <c r="S278" s="64"/>
      <c r="T278" s="62"/>
      <c r="U278" s="62"/>
    </row>
    <row r="279" spans="1:21" ht="16.5" x14ac:dyDescent="0.25">
      <c r="A279" s="55"/>
      <c r="B279" s="56"/>
      <c r="C279" s="56"/>
      <c r="D279" s="56"/>
      <c r="E279" s="57"/>
      <c r="F279" s="58"/>
      <c r="G279" s="58"/>
      <c r="H279" s="58"/>
      <c r="I279" s="63"/>
      <c r="J279" s="63"/>
      <c r="K279" s="63"/>
      <c r="L279" s="60"/>
      <c r="M279" s="60"/>
      <c r="N279" s="64"/>
      <c r="O279" s="64"/>
      <c r="P279" s="64"/>
      <c r="Q279" s="64"/>
      <c r="R279" s="64"/>
      <c r="S279" s="64"/>
      <c r="T279" s="62"/>
      <c r="U279" s="62"/>
    </row>
    <row r="280" spans="1:21" ht="16.5" x14ac:dyDescent="0.25">
      <c r="A280" s="55"/>
      <c r="B280" s="56"/>
      <c r="C280" s="56"/>
      <c r="D280" s="56"/>
      <c r="E280" s="57"/>
      <c r="F280" s="58"/>
      <c r="G280" s="58"/>
      <c r="H280" s="58"/>
      <c r="I280" s="63"/>
      <c r="J280" s="63"/>
      <c r="K280" s="63"/>
      <c r="L280" s="60"/>
      <c r="M280" s="60"/>
      <c r="N280" s="64"/>
      <c r="O280" s="64"/>
      <c r="P280" s="64"/>
      <c r="Q280" s="64"/>
      <c r="R280" s="64"/>
      <c r="S280" s="64"/>
      <c r="T280" s="62"/>
      <c r="U280" s="62"/>
    </row>
    <row r="281" spans="1:21" ht="16.5" x14ac:dyDescent="0.25">
      <c r="A281" s="55"/>
      <c r="B281" s="56"/>
      <c r="C281" s="56"/>
      <c r="D281" s="56"/>
      <c r="E281" s="57"/>
      <c r="F281" s="58"/>
      <c r="G281" s="58"/>
      <c r="H281" s="58"/>
      <c r="I281" s="63"/>
      <c r="J281" s="63"/>
      <c r="K281" s="63"/>
      <c r="L281" s="60"/>
      <c r="M281" s="60"/>
      <c r="N281" s="64"/>
      <c r="O281" s="64"/>
      <c r="P281" s="64"/>
      <c r="Q281" s="64"/>
      <c r="R281" s="64"/>
      <c r="S281" s="64"/>
      <c r="T281" s="62"/>
      <c r="U281" s="62"/>
    </row>
    <row r="282" spans="1:21" ht="16.5" x14ac:dyDescent="0.25">
      <c r="A282" s="55"/>
      <c r="B282" s="56"/>
      <c r="C282" s="56"/>
      <c r="D282" s="56"/>
      <c r="E282" s="57"/>
      <c r="F282" s="58"/>
      <c r="G282" s="58"/>
      <c r="H282" s="58"/>
      <c r="I282" s="63"/>
      <c r="J282" s="63"/>
      <c r="K282" s="63"/>
      <c r="L282" s="60"/>
      <c r="M282" s="60"/>
      <c r="N282" s="64"/>
      <c r="O282" s="64"/>
      <c r="P282" s="64"/>
      <c r="Q282" s="64"/>
      <c r="R282" s="64"/>
      <c r="S282" s="64"/>
      <c r="T282" s="62"/>
      <c r="U282" s="62"/>
    </row>
    <row r="283" spans="1:21" ht="16.5" x14ac:dyDescent="0.25">
      <c r="A283" s="55"/>
      <c r="B283" s="56"/>
      <c r="C283" s="56"/>
      <c r="D283" s="56"/>
      <c r="E283" s="57"/>
      <c r="F283" s="58"/>
      <c r="G283" s="58"/>
      <c r="H283" s="58"/>
      <c r="I283" s="63"/>
      <c r="J283" s="63"/>
      <c r="K283" s="63"/>
      <c r="L283" s="60"/>
      <c r="M283" s="60"/>
      <c r="N283" s="64"/>
      <c r="O283" s="64"/>
      <c r="P283" s="64"/>
      <c r="Q283" s="64"/>
      <c r="R283" s="64"/>
      <c r="S283" s="64"/>
      <c r="T283" s="62"/>
      <c r="U283" s="62"/>
    </row>
    <row r="284" spans="1:21" ht="16.5" x14ac:dyDescent="0.25">
      <c r="A284" s="55"/>
      <c r="B284" s="56"/>
      <c r="C284" s="56"/>
      <c r="D284" s="56"/>
      <c r="E284" s="57"/>
      <c r="F284" s="58"/>
      <c r="G284" s="58"/>
      <c r="H284" s="58"/>
      <c r="I284" s="63"/>
      <c r="J284" s="63"/>
      <c r="K284" s="63"/>
      <c r="L284" s="60"/>
      <c r="M284" s="60"/>
      <c r="N284" s="64"/>
      <c r="O284" s="64"/>
      <c r="P284" s="64"/>
      <c r="Q284" s="64"/>
      <c r="R284" s="64"/>
      <c r="S284" s="64"/>
      <c r="T284" s="62"/>
      <c r="U284" s="62"/>
    </row>
    <row r="285" spans="1:21" ht="16.5" x14ac:dyDescent="0.25">
      <c r="A285" s="55"/>
      <c r="B285" s="56"/>
      <c r="C285" s="56"/>
      <c r="D285" s="56"/>
      <c r="E285" s="57"/>
      <c r="F285" s="58"/>
      <c r="G285" s="58"/>
      <c r="H285" s="58"/>
      <c r="I285" s="63"/>
      <c r="J285" s="63"/>
      <c r="K285" s="63"/>
      <c r="L285" s="60"/>
      <c r="M285" s="60"/>
      <c r="N285" s="64"/>
      <c r="O285" s="64"/>
      <c r="P285" s="64"/>
      <c r="Q285" s="64"/>
      <c r="R285" s="64"/>
      <c r="S285" s="64"/>
      <c r="T285" s="62"/>
      <c r="U285" s="62"/>
    </row>
    <row r="286" spans="1:21" ht="16.5" x14ac:dyDescent="0.25">
      <c r="A286" s="55"/>
      <c r="B286" s="56"/>
      <c r="C286" s="56"/>
      <c r="D286" s="56"/>
      <c r="E286" s="57"/>
      <c r="F286" s="58"/>
      <c r="G286" s="58"/>
      <c r="H286" s="58"/>
      <c r="I286" s="63"/>
      <c r="J286" s="63"/>
      <c r="K286" s="63"/>
      <c r="L286" s="60"/>
      <c r="M286" s="60"/>
      <c r="N286" s="64"/>
      <c r="O286" s="64"/>
      <c r="P286" s="64"/>
      <c r="Q286" s="64"/>
      <c r="R286" s="64"/>
      <c r="S286" s="64"/>
      <c r="T286" s="62"/>
      <c r="U286" s="62"/>
    </row>
    <row r="287" spans="1:21" ht="16.5" x14ac:dyDescent="0.25">
      <c r="A287" s="55"/>
      <c r="B287" s="56"/>
      <c r="C287" s="56"/>
      <c r="D287" s="56"/>
      <c r="E287" s="57"/>
      <c r="F287" s="58"/>
      <c r="G287" s="58"/>
      <c r="H287" s="58"/>
      <c r="I287" s="63"/>
      <c r="J287" s="63"/>
      <c r="K287" s="63"/>
      <c r="L287" s="60"/>
      <c r="M287" s="60"/>
      <c r="N287" s="64"/>
      <c r="O287" s="64"/>
      <c r="P287" s="64"/>
      <c r="Q287" s="64"/>
      <c r="R287" s="64"/>
      <c r="S287" s="64"/>
      <c r="T287" s="62"/>
      <c r="U287" s="62"/>
    </row>
    <row r="288" spans="1:21" ht="16.5" x14ac:dyDescent="0.25">
      <c r="A288" s="55"/>
      <c r="B288" s="56"/>
      <c r="C288" s="56"/>
      <c r="D288" s="56"/>
      <c r="E288" s="57"/>
      <c r="F288" s="58"/>
      <c r="G288" s="58"/>
      <c r="H288" s="58"/>
      <c r="I288" s="63"/>
      <c r="J288" s="63"/>
      <c r="K288" s="63"/>
      <c r="L288" s="60"/>
      <c r="M288" s="60"/>
      <c r="N288" s="64"/>
      <c r="O288" s="64"/>
      <c r="P288" s="64"/>
      <c r="Q288" s="64"/>
      <c r="R288" s="64"/>
      <c r="S288" s="64"/>
      <c r="T288" s="62"/>
      <c r="U288" s="62"/>
    </row>
    <row r="289" spans="1:21" ht="16.5" x14ac:dyDescent="0.25">
      <c r="A289" s="55"/>
      <c r="B289" s="56"/>
      <c r="C289" s="56"/>
      <c r="D289" s="56"/>
      <c r="E289" s="57"/>
      <c r="F289" s="58"/>
      <c r="G289" s="58"/>
      <c r="H289" s="58"/>
      <c r="I289" s="63"/>
      <c r="J289" s="63"/>
      <c r="K289" s="63"/>
      <c r="L289" s="60"/>
      <c r="M289" s="60"/>
      <c r="N289" s="64"/>
      <c r="O289" s="64"/>
      <c r="P289" s="64"/>
      <c r="Q289" s="64"/>
      <c r="R289" s="64"/>
      <c r="S289" s="64"/>
      <c r="T289" s="62"/>
      <c r="U289" s="62"/>
    </row>
    <row r="290" spans="1:21" ht="16.5" x14ac:dyDescent="0.25">
      <c r="A290" s="55"/>
      <c r="B290" s="56"/>
      <c r="C290" s="56"/>
      <c r="D290" s="56"/>
      <c r="E290" s="57"/>
      <c r="F290" s="58"/>
      <c r="G290" s="58"/>
      <c r="H290" s="58"/>
      <c r="I290" s="63"/>
      <c r="J290" s="63"/>
      <c r="K290" s="63"/>
      <c r="L290" s="60"/>
      <c r="M290" s="60"/>
      <c r="N290" s="64"/>
      <c r="O290" s="64"/>
      <c r="P290" s="64"/>
      <c r="Q290" s="64"/>
      <c r="R290" s="64"/>
      <c r="S290" s="64"/>
      <c r="T290" s="62"/>
      <c r="U290" s="62"/>
    </row>
    <row r="291" spans="1:21" ht="16.5" x14ac:dyDescent="0.25">
      <c r="A291" s="55"/>
      <c r="B291" s="56"/>
      <c r="C291" s="56"/>
      <c r="D291" s="56"/>
      <c r="E291" s="57"/>
      <c r="F291" s="58"/>
      <c r="G291" s="58"/>
      <c r="H291" s="58"/>
      <c r="I291" s="63"/>
      <c r="J291" s="63"/>
      <c r="K291" s="63"/>
      <c r="L291" s="60"/>
      <c r="M291" s="60"/>
      <c r="N291" s="64"/>
      <c r="O291" s="64"/>
      <c r="P291" s="64"/>
      <c r="Q291" s="64"/>
      <c r="R291" s="64"/>
      <c r="S291" s="64"/>
      <c r="T291" s="62"/>
      <c r="U291" s="62"/>
    </row>
    <row r="292" spans="1:21" ht="16.5" x14ac:dyDescent="0.25">
      <c r="A292" s="55"/>
      <c r="B292" s="56"/>
      <c r="C292" s="56"/>
      <c r="D292" s="56"/>
      <c r="E292" s="57"/>
      <c r="F292" s="58"/>
      <c r="G292" s="58"/>
      <c r="H292" s="58"/>
      <c r="I292" s="63"/>
      <c r="J292" s="63"/>
      <c r="K292" s="63"/>
      <c r="L292" s="60"/>
      <c r="M292" s="60"/>
      <c r="N292" s="64"/>
      <c r="O292" s="64"/>
      <c r="P292" s="64"/>
      <c r="Q292" s="64"/>
      <c r="R292" s="64"/>
      <c r="S292" s="64"/>
      <c r="T292" s="62"/>
      <c r="U292" s="62"/>
    </row>
    <row r="293" spans="1:21" ht="16.5" x14ac:dyDescent="0.25">
      <c r="A293" s="55"/>
      <c r="B293" s="56"/>
      <c r="C293" s="56"/>
      <c r="D293" s="56"/>
      <c r="E293" s="57"/>
      <c r="F293" s="58"/>
      <c r="G293" s="58"/>
      <c r="H293" s="58"/>
      <c r="I293" s="63"/>
      <c r="J293" s="63"/>
      <c r="K293" s="63"/>
      <c r="L293" s="60"/>
      <c r="M293" s="60"/>
      <c r="N293" s="64"/>
      <c r="O293" s="64"/>
      <c r="P293" s="64"/>
      <c r="Q293" s="64"/>
      <c r="R293" s="64"/>
      <c r="S293" s="64"/>
      <c r="T293" s="62"/>
      <c r="U293" s="62"/>
    </row>
    <row r="294" spans="1:21" ht="16.5" x14ac:dyDescent="0.25">
      <c r="A294" s="55"/>
      <c r="B294" s="56"/>
      <c r="C294" s="56"/>
      <c r="D294" s="56"/>
      <c r="E294" s="57"/>
      <c r="F294" s="58"/>
      <c r="G294" s="58"/>
      <c r="H294" s="58"/>
      <c r="I294" s="63"/>
      <c r="J294" s="63"/>
      <c r="K294" s="63"/>
      <c r="L294" s="60"/>
      <c r="M294" s="60"/>
      <c r="N294" s="64"/>
      <c r="O294" s="64"/>
      <c r="P294" s="64"/>
      <c r="Q294" s="64"/>
      <c r="R294" s="64"/>
      <c r="S294" s="64"/>
      <c r="T294" s="62"/>
      <c r="U294" s="62"/>
    </row>
    <row r="295" spans="1:21" ht="16.5" x14ac:dyDescent="0.25">
      <c r="A295" s="55"/>
      <c r="B295" s="56"/>
      <c r="C295" s="56"/>
      <c r="D295" s="56"/>
      <c r="E295" s="57"/>
      <c r="F295" s="58"/>
      <c r="G295" s="58"/>
      <c r="H295" s="58"/>
      <c r="I295" s="63"/>
      <c r="J295" s="63"/>
      <c r="K295" s="63"/>
      <c r="L295" s="60"/>
      <c r="M295" s="60"/>
      <c r="N295" s="64"/>
      <c r="O295" s="64"/>
      <c r="P295" s="64"/>
      <c r="Q295" s="64"/>
      <c r="R295" s="64"/>
      <c r="S295" s="64"/>
      <c r="T295" s="62"/>
      <c r="U295" s="62"/>
    </row>
    <row r="296" spans="1:21" ht="16.5" x14ac:dyDescent="0.25">
      <c r="A296" s="55"/>
      <c r="B296" s="56"/>
      <c r="C296" s="56"/>
      <c r="D296" s="56"/>
      <c r="E296" s="57"/>
      <c r="F296" s="58"/>
      <c r="G296" s="58"/>
      <c r="H296" s="58"/>
      <c r="I296" s="63"/>
      <c r="J296" s="63"/>
      <c r="K296" s="63"/>
      <c r="L296" s="60"/>
      <c r="M296" s="60"/>
      <c r="N296" s="64"/>
      <c r="O296" s="64"/>
      <c r="P296" s="64"/>
      <c r="Q296" s="64"/>
      <c r="R296" s="64"/>
      <c r="S296" s="64"/>
      <c r="T296" s="62"/>
      <c r="U296" s="62"/>
    </row>
    <row r="297" spans="1:21" ht="16.5" x14ac:dyDescent="0.25">
      <c r="A297" s="55"/>
      <c r="B297" s="56"/>
      <c r="C297" s="56"/>
      <c r="D297" s="56"/>
      <c r="E297" s="57"/>
      <c r="F297" s="58"/>
      <c r="G297" s="58"/>
      <c r="H297" s="58"/>
      <c r="I297" s="63"/>
      <c r="J297" s="63"/>
      <c r="K297" s="63"/>
      <c r="L297" s="60"/>
      <c r="M297" s="60"/>
      <c r="N297" s="64"/>
      <c r="O297" s="64"/>
      <c r="P297" s="64"/>
      <c r="Q297" s="64"/>
      <c r="R297" s="64"/>
      <c r="S297" s="64"/>
      <c r="T297" s="62"/>
      <c r="U297" s="62"/>
    </row>
    <row r="298" spans="1:21" ht="16.5" x14ac:dyDescent="0.25">
      <c r="A298" s="55"/>
      <c r="B298" s="56"/>
      <c r="C298" s="56"/>
      <c r="D298" s="56"/>
      <c r="E298" s="57"/>
      <c r="F298" s="58"/>
      <c r="G298" s="58"/>
      <c r="H298" s="58"/>
      <c r="I298" s="63"/>
      <c r="J298" s="63"/>
      <c r="K298" s="63"/>
      <c r="L298" s="60"/>
      <c r="M298" s="60"/>
      <c r="N298" s="64"/>
      <c r="O298" s="64"/>
      <c r="P298" s="64"/>
      <c r="Q298" s="64"/>
      <c r="R298" s="64"/>
      <c r="S298" s="64"/>
      <c r="T298" s="62"/>
      <c r="U298" s="62"/>
    </row>
    <row r="299" spans="1:21" ht="16.5" x14ac:dyDescent="0.25">
      <c r="A299" s="55"/>
      <c r="B299" s="56"/>
      <c r="C299" s="56"/>
      <c r="D299" s="56"/>
      <c r="E299" s="57"/>
      <c r="F299" s="58"/>
      <c r="G299" s="58"/>
      <c r="H299" s="58"/>
      <c r="I299" s="63"/>
      <c r="J299" s="63"/>
      <c r="K299" s="63"/>
      <c r="L299" s="60"/>
      <c r="M299" s="60"/>
      <c r="N299" s="64"/>
      <c r="O299" s="64"/>
      <c r="P299" s="64"/>
      <c r="Q299" s="64"/>
      <c r="R299" s="64"/>
      <c r="S299" s="64"/>
      <c r="T299" s="62"/>
      <c r="U299" s="62"/>
    </row>
    <row r="300" spans="1:21" ht="16.5" x14ac:dyDescent="0.25">
      <c r="A300" s="55"/>
      <c r="B300" s="56"/>
      <c r="C300" s="56"/>
      <c r="D300" s="56"/>
      <c r="E300" s="57"/>
      <c r="F300" s="58"/>
      <c r="G300" s="58"/>
      <c r="H300" s="58"/>
      <c r="I300" s="63"/>
      <c r="J300" s="63"/>
      <c r="K300" s="63"/>
      <c r="L300" s="60"/>
      <c r="M300" s="60"/>
      <c r="N300" s="64"/>
      <c r="O300" s="64"/>
      <c r="P300" s="64"/>
      <c r="Q300" s="64"/>
      <c r="R300" s="64"/>
      <c r="S300" s="64"/>
      <c r="T300" s="62"/>
      <c r="U300" s="62"/>
    </row>
    <row r="301" spans="1:21" ht="16.5" x14ac:dyDescent="0.25">
      <c r="A301" s="55"/>
      <c r="B301" s="56"/>
      <c r="C301" s="56"/>
      <c r="D301" s="56"/>
      <c r="E301" s="57"/>
      <c r="F301" s="58"/>
      <c r="G301" s="58"/>
      <c r="H301" s="58"/>
      <c r="I301" s="63"/>
      <c r="J301" s="63"/>
      <c r="K301" s="63"/>
      <c r="L301" s="60"/>
      <c r="M301" s="60"/>
      <c r="N301" s="64"/>
      <c r="O301" s="64"/>
      <c r="P301" s="64"/>
      <c r="Q301" s="64"/>
      <c r="R301" s="64"/>
      <c r="S301" s="64"/>
      <c r="T301" s="62"/>
      <c r="U301" s="62"/>
    </row>
    <row r="302" spans="1:21" ht="16.5" x14ac:dyDescent="0.25">
      <c r="A302" s="55"/>
      <c r="B302" s="56"/>
      <c r="C302" s="56"/>
      <c r="D302" s="56"/>
      <c r="E302" s="57"/>
      <c r="F302" s="58"/>
      <c r="G302" s="58"/>
      <c r="H302" s="58"/>
      <c r="I302" s="63"/>
      <c r="J302" s="63"/>
      <c r="K302" s="63"/>
      <c r="L302" s="60"/>
      <c r="M302" s="60"/>
      <c r="N302" s="64"/>
      <c r="O302" s="64"/>
      <c r="P302" s="64"/>
      <c r="Q302" s="64"/>
      <c r="R302" s="64"/>
      <c r="S302" s="64"/>
      <c r="T302" s="62"/>
      <c r="U302" s="62"/>
    </row>
    <row r="303" spans="1:21" ht="16.5" x14ac:dyDescent="0.25">
      <c r="A303" s="55"/>
      <c r="B303" s="56"/>
      <c r="C303" s="56"/>
      <c r="D303" s="56"/>
      <c r="E303" s="57"/>
      <c r="F303" s="58"/>
      <c r="G303" s="58"/>
      <c r="H303" s="58"/>
      <c r="I303" s="59"/>
      <c r="J303" s="59"/>
      <c r="K303" s="59"/>
      <c r="L303" s="60"/>
      <c r="M303" s="60"/>
      <c r="N303" s="61"/>
      <c r="O303" s="61"/>
      <c r="P303" s="61"/>
      <c r="Q303" s="61"/>
      <c r="R303" s="61"/>
      <c r="S303" s="61"/>
      <c r="T303" s="62"/>
      <c r="U303" s="62"/>
    </row>
    <row r="304" spans="1:21" ht="16.5" x14ac:dyDescent="0.25">
      <c r="A304" s="55"/>
      <c r="B304" s="56"/>
      <c r="C304" s="56"/>
      <c r="D304" s="56"/>
      <c r="E304" s="57"/>
      <c r="F304" s="58"/>
      <c r="G304" s="58"/>
      <c r="H304" s="58"/>
      <c r="I304" s="59"/>
      <c r="J304" s="59"/>
      <c r="K304" s="59"/>
      <c r="L304" s="60"/>
      <c r="M304" s="60"/>
      <c r="N304" s="61"/>
      <c r="O304" s="61"/>
      <c r="P304" s="61"/>
      <c r="Q304" s="61"/>
      <c r="R304" s="61"/>
      <c r="S304" s="61"/>
      <c r="T304" s="62"/>
      <c r="U304" s="62"/>
    </row>
    <row r="305" spans="1:21" ht="16.5" x14ac:dyDescent="0.25">
      <c r="A305" s="55"/>
      <c r="B305" s="56"/>
      <c r="C305" s="56"/>
      <c r="D305" s="56"/>
      <c r="E305" s="57"/>
      <c r="F305" s="58"/>
      <c r="G305" s="58"/>
      <c r="H305" s="58"/>
      <c r="I305" s="59"/>
      <c r="J305" s="59"/>
      <c r="K305" s="59"/>
      <c r="L305" s="60"/>
      <c r="M305" s="60"/>
      <c r="N305" s="61"/>
      <c r="O305" s="61"/>
      <c r="P305" s="61"/>
      <c r="Q305" s="61"/>
      <c r="R305" s="61"/>
      <c r="S305" s="61"/>
      <c r="T305" s="62"/>
      <c r="U305" s="62"/>
    </row>
    <row r="306" spans="1:21" ht="16.5" x14ac:dyDescent="0.25">
      <c r="A306" s="55"/>
      <c r="B306" s="56"/>
      <c r="C306" s="56"/>
      <c r="D306" s="56"/>
      <c r="E306" s="57"/>
      <c r="F306" s="58"/>
      <c r="G306" s="58"/>
      <c r="H306" s="58"/>
      <c r="I306" s="59"/>
      <c r="J306" s="59"/>
      <c r="K306" s="59"/>
      <c r="L306" s="60"/>
      <c r="M306" s="60"/>
      <c r="N306" s="61"/>
      <c r="O306" s="61"/>
      <c r="P306" s="61"/>
      <c r="Q306" s="61"/>
      <c r="R306" s="61"/>
      <c r="S306" s="61"/>
      <c r="T306" s="62"/>
      <c r="U306" s="62"/>
    </row>
    <row r="307" spans="1:21" ht="16.5" x14ac:dyDescent="0.25">
      <c r="A307" s="55"/>
      <c r="B307" s="56"/>
      <c r="C307" s="56"/>
      <c r="D307" s="56"/>
      <c r="E307" s="57"/>
      <c r="F307" s="58"/>
      <c r="G307" s="58"/>
      <c r="H307" s="58"/>
      <c r="I307" s="59"/>
      <c r="J307" s="59"/>
      <c r="K307" s="59"/>
      <c r="L307" s="60"/>
      <c r="M307" s="60"/>
      <c r="N307" s="61"/>
      <c r="O307" s="61"/>
      <c r="P307" s="61"/>
      <c r="Q307" s="61"/>
      <c r="R307" s="61"/>
      <c r="S307" s="61"/>
      <c r="T307" s="62"/>
      <c r="U307" s="62"/>
    </row>
    <row r="308" spans="1:21" ht="16.5" x14ac:dyDescent="0.25">
      <c r="A308" s="55"/>
      <c r="B308" s="56"/>
      <c r="C308" s="56"/>
      <c r="D308" s="56"/>
      <c r="E308" s="57"/>
      <c r="F308" s="58"/>
      <c r="G308" s="58"/>
      <c r="H308" s="58"/>
      <c r="I308" s="59"/>
      <c r="J308" s="59"/>
      <c r="K308" s="59"/>
      <c r="L308" s="60"/>
      <c r="M308" s="60"/>
      <c r="N308" s="61"/>
      <c r="O308" s="61"/>
      <c r="P308" s="61"/>
      <c r="Q308" s="61"/>
      <c r="R308" s="61"/>
      <c r="S308" s="61"/>
      <c r="T308" s="62"/>
      <c r="U308" s="62"/>
    </row>
    <row r="309" spans="1:21" ht="16.5" x14ac:dyDescent="0.25">
      <c r="A309" s="55"/>
      <c r="B309" s="56"/>
      <c r="C309" s="56"/>
      <c r="D309" s="56"/>
      <c r="E309" s="57"/>
      <c r="F309" s="58"/>
      <c r="G309" s="58"/>
      <c r="H309" s="58"/>
      <c r="I309" s="59"/>
      <c r="J309" s="59"/>
      <c r="K309" s="59"/>
      <c r="L309" s="60"/>
      <c r="M309" s="60"/>
      <c r="N309" s="61"/>
      <c r="O309" s="61"/>
      <c r="P309" s="61"/>
      <c r="Q309" s="61"/>
      <c r="R309" s="61"/>
      <c r="S309" s="61"/>
      <c r="T309" s="62"/>
      <c r="U309" s="62"/>
    </row>
    <row r="310" spans="1:21" ht="16.5" x14ac:dyDescent="0.25">
      <c r="A310" s="55"/>
      <c r="B310" s="56"/>
      <c r="C310" s="56"/>
      <c r="D310" s="56"/>
      <c r="E310" s="57"/>
      <c r="F310" s="58"/>
      <c r="G310" s="58"/>
      <c r="H310" s="58"/>
      <c r="I310" s="59"/>
      <c r="J310" s="59"/>
      <c r="K310" s="59"/>
      <c r="L310" s="60"/>
      <c r="M310" s="60"/>
      <c r="N310" s="61"/>
      <c r="O310" s="61"/>
      <c r="P310" s="61"/>
      <c r="Q310" s="61"/>
      <c r="R310" s="61"/>
      <c r="S310" s="61"/>
      <c r="T310" s="62"/>
      <c r="U310" s="62"/>
    </row>
    <row r="311" spans="1:21" ht="16.5" x14ac:dyDescent="0.25">
      <c r="A311" s="55"/>
      <c r="B311" s="56"/>
      <c r="C311" s="56"/>
      <c r="D311" s="56"/>
      <c r="E311" s="57"/>
      <c r="F311" s="58"/>
      <c r="G311" s="58"/>
      <c r="H311" s="58"/>
      <c r="I311" s="59"/>
      <c r="J311" s="59"/>
      <c r="K311" s="59"/>
      <c r="L311" s="60"/>
      <c r="M311" s="60"/>
      <c r="N311" s="61"/>
      <c r="O311" s="61"/>
      <c r="P311" s="61"/>
      <c r="Q311" s="61"/>
      <c r="R311" s="61"/>
      <c r="S311" s="61"/>
      <c r="T311" s="62"/>
      <c r="U311" s="62"/>
    </row>
    <row r="312" spans="1:21" ht="16.5" x14ac:dyDescent="0.25">
      <c r="A312" s="55"/>
      <c r="B312" s="56"/>
      <c r="C312" s="56"/>
      <c r="D312" s="56"/>
      <c r="E312" s="57"/>
      <c r="F312" s="58"/>
      <c r="G312" s="58"/>
      <c r="H312" s="58"/>
      <c r="I312" s="59"/>
      <c r="J312" s="59"/>
      <c r="K312" s="59"/>
      <c r="L312" s="60"/>
      <c r="M312" s="60"/>
      <c r="N312" s="61"/>
      <c r="O312" s="61"/>
      <c r="P312" s="61"/>
      <c r="Q312" s="61"/>
      <c r="R312" s="61"/>
      <c r="S312" s="61"/>
      <c r="T312" s="62"/>
      <c r="U312" s="62"/>
    </row>
    <row r="313" spans="1:21" ht="16.5" x14ac:dyDescent="0.25">
      <c r="A313" s="55"/>
      <c r="B313" s="56"/>
      <c r="C313" s="56"/>
      <c r="D313" s="56"/>
      <c r="E313" s="57"/>
      <c r="F313" s="58"/>
      <c r="G313" s="58"/>
      <c r="H313" s="58"/>
      <c r="I313" s="59"/>
      <c r="J313" s="59"/>
      <c r="K313" s="59"/>
      <c r="L313" s="60"/>
      <c r="M313" s="60"/>
      <c r="N313" s="61"/>
      <c r="O313" s="61"/>
      <c r="P313" s="61"/>
      <c r="Q313" s="61"/>
      <c r="R313" s="61"/>
      <c r="S313" s="61"/>
      <c r="T313" s="62"/>
      <c r="U313" s="62"/>
    </row>
    <row r="314" spans="1:21" ht="16.5" x14ac:dyDescent="0.25">
      <c r="A314" s="55"/>
      <c r="B314" s="56"/>
      <c r="C314" s="56"/>
      <c r="D314" s="56"/>
      <c r="E314" s="57"/>
      <c r="F314" s="58"/>
      <c r="G314" s="58"/>
      <c r="H314" s="58"/>
      <c r="I314" s="59"/>
      <c r="J314" s="59"/>
      <c r="K314" s="59"/>
      <c r="L314" s="60"/>
      <c r="M314" s="60"/>
      <c r="N314" s="61"/>
      <c r="O314" s="61"/>
      <c r="P314" s="61"/>
      <c r="Q314" s="61"/>
      <c r="R314" s="61"/>
      <c r="S314" s="61"/>
      <c r="T314" s="62"/>
      <c r="U314" s="62"/>
    </row>
    <row r="315" spans="1:21" ht="16.5" x14ac:dyDescent="0.25">
      <c r="A315" s="55"/>
      <c r="B315" s="56"/>
      <c r="C315" s="56"/>
      <c r="D315" s="56"/>
      <c r="E315" s="57"/>
      <c r="F315" s="58"/>
      <c r="G315" s="58"/>
      <c r="H315" s="58"/>
      <c r="I315" s="59"/>
      <c r="J315" s="59"/>
      <c r="K315" s="59"/>
      <c r="L315" s="60"/>
      <c r="M315" s="60"/>
      <c r="N315" s="61"/>
      <c r="O315" s="61"/>
      <c r="P315" s="61"/>
      <c r="Q315" s="61"/>
      <c r="R315" s="61"/>
      <c r="S315" s="61"/>
      <c r="T315" s="62"/>
      <c r="U315" s="62"/>
    </row>
    <row r="316" spans="1:21" ht="16.5" x14ac:dyDescent="0.25">
      <c r="A316" s="55"/>
      <c r="B316" s="56"/>
      <c r="C316" s="56"/>
      <c r="D316" s="56"/>
      <c r="E316" s="57"/>
      <c r="F316" s="58"/>
      <c r="G316" s="58"/>
      <c r="H316" s="58"/>
      <c r="I316" s="59"/>
      <c r="J316" s="59"/>
      <c r="K316" s="59"/>
      <c r="L316" s="60"/>
      <c r="M316" s="60"/>
      <c r="N316" s="61"/>
      <c r="O316" s="61"/>
      <c r="P316" s="61"/>
      <c r="Q316" s="61"/>
      <c r="R316" s="61"/>
      <c r="S316" s="61"/>
      <c r="T316" s="62"/>
      <c r="U316" s="62"/>
    </row>
    <row r="317" spans="1:21" ht="16.5" x14ac:dyDescent="0.25">
      <c r="A317" s="55"/>
      <c r="B317" s="56"/>
      <c r="C317" s="56"/>
      <c r="D317" s="56"/>
      <c r="E317" s="57"/>
      <c r="F317" s="58"/>
      <c r="G317" s="58"/>
      <c r="H317" s="58"/>
      <c r="I317" s="59"/>
      <c r="J317" s="59"/>
      <c r="K317" s="59"/>
      <c r="L317" s="60"/>
      <c r="M317" s="60"/>
      <c r="N317" s="61"/>
      <c r="O317" s="61"/>
      <c r="P317" s="61"/>
      <c r="Q317" s="61"/>
      <c r="R317" s="61"/>
      <c r="S317" s="61"/>
      <c r="T317" s="62"/>
      <c r="U317" s="62"/>
    </row>
    <row r="318" spans="1:21" ht="16.5" x14ac:dyDescent="0.25">
      <c r="A318" s="55"/>
      <c r="B318" s="56"/>
      <c r="C318" s="56"/>
      <c r="D318" s="56"/>
      <c r="E318" s="57"/>
      <c r="F318" s="58"/>
      <c r="G318" s="58"/>
      <c r="H318" s="58"/>
      <c r="I318" s="59"/>
      <c r="J318" s="59"/>
      <c r="K318" s="59"/>
      <c r="L318" s="60"/>
      <c r="M318" s="60"/>
      <c r="N318" s="61"/>
      <c r="O318" s="61"/>
      <c r="P318" s="61"/>
      <c r="Q318" s="61"/>
      <c r="R318" s="61"/>
      <c r="S318" s="61"/>
      <c r="T318" s="62"/>
      <c r="U318" s="62"/>
    </row>
    <row r="319" spans="1:21" ht="16.5" x14ac:dyDescent="0.25">
      <c r="A319" s="55"/>
      <c r="B319" s="56"/>
      <c r="C319" s="56"/>
      <c r="D319" s="56"/>
      <c r="E319" s="57"/>
      <c r="F319" s="58"/>
      <c r="G319" s="58"/>
      <c r="H319" s="58"/>
      <c r="I319" s="59"/>
      <c r="J319" s="59"/>
      <c r="K319" s="59"/>
      <c r="L319" s="60"/>
      <c r="M319" s="60"/>
      <c r="N319" s="61"/>
      <c r="O319" s="61"/>
      <c r="P319" s="61"/>
      <c r="Q319" s="61"/>
      <c r="R319" s="61"/>
      <c r="S319" s="61"/>
      <c r="T319" s="62"/>
      <c r="U319" s="62"/>
    </row>
    <row r="320" spans="1:21" ht="16.5" x14ac:dyDescent="0.25">
      <c r="A320" s="55"/>
      <c r="B320" s="56"/>
      <c r="C320" s="56"/>
      <c r="D320" s="56"/>
      <c r="E320" s="57"/>
      <c r="F320" s="58"/>
      <c r="G320" s="58"/>
      <c r="H320" s="58"/>
      <c r="I320" s="59"/>
      <c r="J320" s="59"/>
      <c r="K320" s="59"/>
      <c r="L320" s="60"/>
      <c r="M320" s="60"/>
      <c r="N320" s="61"/>
      <c r="O320" s="61"/>
      <c r="P320" s="61"/>
      <c r="Q320" s="61"/>
      <c r="R320" s="61"/>
      <c r="S320" s="61"/>
      <c r="T320" s="62"/>
      <c r="U320" s="62"/>
    </row>
    <row r="321" spans="1:21" ht="16.5" x14ac:dyDescent="0.25">
      <c r="A321" s="55"/>
      <c r="B321" s="56"/>
      <c r="C321" s="56"/>
      <c r="D321" s="56"/>
      <c r="E321" s="57"/>
      <c r="F321" s="58"/>
      <c r="G321" s="58"/>
      <c r="H321" s="58"/>
      <c r="I321" s="59"/>
      <c r="J321" s="59"/>
      <c r="K321" s="59"/>
      <c r="L321" s="60"/>
      <c r="M321" s="60"/>
      <c r="N321" s="61"/>
      <c r="O321" s="61"/>
      <c r="P321" s="61"/>
      <c r="Q321" s="61"/>
      <c r="R321" s="61"/>
      <c r="S321" s="61"/>
      <c r="T321" s="62"/>
      <c r="U321" s="62"/>
    </row>
    <row r="322" spans="1:21" ht="16.5" x14ac:dyDescent="0.25">
      <c r="A322" s="55"/>
      <c r="B322" s="56"/>
      <c r="C322" s="56"/>
      <c r="D322" s="56"/>
      <c r="E322" s="57"/>
      <c r="F322" s="58"/>
      <c r="G322" s="58"/>
      <c r="H322" s="58"/>
      <c r="I322" s="59"/>
      <c r="J322" s="59"/>
      <c r="K322" s="59"/>
      <c r="L322" s="60"/>
      <c r="M322" s="60"/>
      <c r="N322" s="61"/>
      <c r="O322" s="61"/>
      <c r="P322" s="61"/>
      <c r="Q322" s="61"/>
      <c r="R322" s="61"/>
      <c r="S322" s="61"/>
      <c r="T322" s="62"/>
      <c r="U322" s="62"/>
    </row>
    <row r="323" spans="1:21" ht="16.5" x14ac:dyDescent="0.25">
      <c r="A323" s="55"/>
      <c r="B323" s="56"/>
      <c r="C323" s="56"/>
      <c r="D323" s="56"/>
      <c r="E323" s="57"/>
      <c r="F323" s="58"/>
      <c r="G323" s="58"/>
      <c r="H323" s="58"/>
      <c r="I323" s="59"/>
      <c r="J323" s="59"/>
      <c r="K323" s="59"/>
      <c r="L323" s="60"/>
      <c r="M323" s="60"/>
      <c r="N323" s="61"/>
      <c r="O323" s="61"/>
      <c r="P323" s="61"/>
      <c r="Q323" s="61"/>
      <c r="R323" s="61"/>
      <c r="S323" s="61"/>
      <c r="T323" s="62"/>
      <c r="U323" s="62"/>
    </row>
    <row r="324" spans="1:21" ht="16.5" x14ac:dyDescent="0.25">
      <c r="A324" s="55"/>
      <c r="B324" s="56"/>
      <c r="C324" s="56"/>
      <c r="D324" s="56"/>
      <c r="E324" s="57"/>
      <c r="F324" s="58"/>
      <c r="G324" s="58"/>
      <c r="H324" s="58"/>
      <c r="I324" s="59"/>
      <c r="J324" s="59"/>
      <c r="K324" s="59"/>
      <c r="L324" s="60"/>
      <c r="M324" s="60"/>
      <c r="N324" s="61"/>
      <c r="O324" s="61"/>
      <c r="P324" s="61"/>
      <c r="Q324" s="61"/>
      <c r="R324" s="61"/>
      <c r="S324" s="61"/>
      <c r="T324" s="62"/>
      <c r="U324" s="62"/>
    </row>
    <row r="325" spans="1:21" ht="16.5" x14ac:dyDescent="0.25">
      <c r="A325" s="55"/>
      <c r="B325" s="56"/>
      <c r="C325" s="56"/>
      <c r="D325" s="56"/>
      <c r="E325" s="57"/>
      <c r="F325" s="58"/>
      <c r="G325" s="58"/>
      <c r="H325" s="58"/>
      <c r="I325" s="59"/>
      <c r="J325" s="59"/>
      <c r="K325" s="59"/>
      <c r="L325" s="60"/>
      <c r="M325" s="60"/>
      <c r="N325" s="61"/>
      <c r="O325" s="61"/>
      <c r="P325" s="61"/>
      <c r="Q325" s="61"/>
      <c r="R325" s="61"/>
      <c r="S325" s="61"/>
      <c r="T325" s="62"/>
      <c r="U325" s="62"/>
    </row>
    <row r="326" spans="1:21" ht="16.5" x14ac:dyDescent="0.25">
      <c r="A326" s="55"/>
      <c r="B326" s="56"/>
      <c r="C326" s="56"/>
      <c r="D326" s="56"/>
      <c r="E326" s="57"/>
      <c r="F326" s="58"/>
      <c r="G326" s="58"/>
      <c r="H326" s="58"/>
      <c r="I326" s="59"/>
      <c r="J326" s="59"/>
      <c r="K326" s="59"/>
      <c r="L326" s="60"/>
      <c r="M326" s="60"/>
      <c r="N326" s="61"/>
      <c r="O326" s="61"/>
      <c r="P326" s="61"/>
      <c r="Q326" s="61"/>
      <c r="R326" s="61"/>
      <c r="S326" s="61"/>
      <c r="T326" s="62"/>
      <c r="U326" s="62"/>
    </row>
    <row r="327" spans="1:21" ht="16.5" x14ac:dyDescent="0.25">
      <c r="A327" s="55"/>
      <c r="B327" s="56"/>
      <c r="C327" s="56"/>
      <c r="D327" s="56"/>
      <c r="E327" s="57"/>
      <c r="F327" s="58"/>
      <c r="G327" s="58"/>
      <c r="H327" s="58"/>
      <c r="I327" s="59"/>
      <c r="J327" s="59"/>
      <c r="K327" s="59"/>
      <c r="L327" s="60"/>
      <c r="M327" s="60"/>
      <c r="N327" s="61"/>
      <c r="O327" s="61"/>
      <c r="P327" s="61"/>
      <c r="Q327" s="61"/>
      <c r="R327" s="61"/>
      <c r="S327" s="61"/>
      <c r="T327" s="62"/>
      <c r="U327" s="62"/>
    </row>
    <row r="328" spans="1:21" ht="16.5" x14ac:dyDescent="0.25">
      <c r="A328" s="55"/>
      <c r="B328" s="56"/>
      <c r="C328" s="56"/>
      <c r="D328" s="56"/>
      <c r="E328" s="57"/>
      <c r="F328" s="58"/>
      <c r="G328" s="58"/>
      <c r="H328" s="58"/>
      <c r="I328" s="59"/>
      <c r="J328" s="59"/>
      <c r="K328" s="59"/>
      <c r="L328" s="60"/>
      <c r="M328" s="60"/>
      <c r="N328" s="61"/>
      <c r="O328" s="61"/>
      <c r="P328" s="61"/>
      <c r="Q328" s="61"/>
      <c r="R328" s="61"/>
      <c r="S328" s="61"/>
      <c r="T328" s="62"/>
      <c r="U328" s="62"/>
    </row>
    <row r="329" spans="1:21" ht="16.5" x14ac:dyDescent="0.25">
      <c r="A329" s="55"/>
      <c r="B329" s="56"/>
      <c r="C329" s="56"/>
      <c r="D329" s="56"/>
      <c r="E329" s="57"/>
      <c r="F329" s="58"/>
      <c r="G329" s="58"/>
      <c r="H329" s="58"/>
      <c r="I329" s="59"/>
      <c r="J329" s="59"/>
      <c r="K329" s="59"/>
      <c r="L329" s="60"/>
      <c r="M329" s="60"/>
      <c r="N329" s="61"/>
      <c r="O329" s="61"/>
      <c r="P329" s="61"/>
      <c r="Q329" s="61"/>
      <c r="R329" s="61"/>
      <c r="S329" s="61"/>
      <c r="T329" s="62"/>
      <c r="U329" s="62"/>
    </row>
    <row r="330" spans="1:21" ht="16.5" x14ac:dyDescent="0.25">
      <c r="A330" s="55"/>
      <c r="B330" s="56"/>
      <c r="C330" s="56"/>
      <c r="D330" s="56"/>
      <c r="E330" s="57"/>
      <c r="F330" s="58"/>
      <c r="G330" s="58"/>
      <c r="H330" s="58"/>
      <c r="I330" s="59"/>
      <c r="J330" s="59"/>
      <c r="K330" s="59"/>
      <c r="L330" s="60"/>
      <c r="M330" s="60"/>
      <c r="N330" s="61"/>
      <c r="O330" s="61"/>
      <c r="P330" s="61"/>
      <c r="Q330" s="61"/>
      <c r="R330" s="61"/>
      <c r="S330" s="61"/>
      <c r="T330" s="62"/>
      <c r="U330" s="62"/>
    </row>
    <row r="331" spans="1:21" ht="16.5" x14ac:dyDescent="0.25">
      <c r="A331" s="55"/>
      <c r="B331" s="56"/>
      <c r="C331" s="56"/>
      <c r="D331" s="56"/>
      <c r="E331" s="57"/>
      <c r="F331" s="58"/>
      <c r="G331" s="58"/>
      <c r="H331" s="58"/>
      <c r="I331" s="59"/>
      <c r="J331" s="59"/>
      <c r="K331" s="59"/>
      <c r="L331" s="60"/>
      <c r="M331" s="60"/>
      <c r="N331" s="61"/>
      <c r="O331" s="61"/>
      <c r="P331" s="61"/>
      <c r="Q331" s="61"/>
      <c r="R331" s="61"/>
      <c r="S331" s="61"/>
      <c r="T331" s="62"/>
      <c r="U331" s="62"/>
    </row>
    <row r="332" spans="1:21" ht="16.5" x14ac:dyDescent="0.25">
      <c r="A332" s="55"/>
      <c r="B332" s="56"/>
      <c r="C332" s="56"/>
      <c r="D332" s="56"/>
      <c r="E332" s="57"/>
      <c r="F332" s="58"/>
      <c r="G332" s="58"/>
      <c r="H332" s="58"/>
      <c r="I332" s="59"/>
      <c r="J332" s="59"/>
      <c r="K332" s="59"/>
      <c r="L332" s="60"/>
      <c r="M332" s="60"/>
      <c r="N332" s="61"/>
      <c r="O332" s="61"/>
      <c r="P332" s="61"/>
      <c r="Q332" s="61"/>
      <c r="R332" s="61"/>
      <c r="S332" s="61"/>
      <c r="T332" s="62"/>
      <c r="U332" s="62"/>
    </row>
    <row r="333" spans="1:21" ht="16.5" x14ac:dyDescent="0.25">
      <c r="A333" s="55"/>
      <c r="B333" s="56"/>
      <c r="C333" s="56"/>
      <c r="D333" s="56"/>
      <c r="E333" s="57"/>
      <c r="F333" s="58"/>
      <c r="G333" s="58"/>
      <c r="H333" s="58"/>
      <c r="I333" s="59"/>
      <c r="J333" s="59"/>
      <c r="K333" s="59"/>
      <c r="L333" s="60"/>
      <c r="M333" s="60"/>
      <c r="N333" s="61"/>
      <c r="O333" s="61"/>
      <c r="P333" s="61"/>
      <c r="Q333" s="61"/>
      <c r="R333" s="61"/>
      <c r="S333" s="61"/>
      <c r="T333" s="62"/>
      <c r="U333" s="62"/>
    </row>
    <row r="334" spans="1:21" ht="16.5" x14ac:dyDescent="0.25">
      <c r="A334" s="55"/>
      <c r="B334" s="56"/>
      <c r="C334" s="56"/>
      <c r="D334" s="56"/>
      <c r="E334" s="57"/>
      <c r="F334" s="58"/>
      <c r="G334" s="58"/>
      <c r="H334" s="58"/>
      <c r="I334" s="59"/>
      <c r="J334" s="59"/>
      <c r="K334" s="59"/>
      <c r="L334" s="60"/>
      <c r="M334" s="60"/>
      <c r="N334" s="61"/>
      <c r="O334" s="61"/>
      <c r="P334" s="61"/>
      <c r="Q334" s="61"/>
      <c r="R334" s="61"/>
      <c r="S334" s="61"/>
      <c r="T334" s="62"/>
      <c r="U334" s="62"/>
    </row>
    <row r="335" spans="1:21" ht="16.5" x14ac:dyDescent="0.25">
      <c r="A335" s="55"/>
      <c r="B335" s="56"/>
      <c r="C335" s="56"/>
      <c r="D335" s="56"/>
      <c r="E335" s="57"/>
      <c r="F335" s="58"/>
      <c r="G335" s="58"/>
      <c r="H335" s="58"/>
      <c r="I335" s="59"/>
      <c r="J335" s="59"/>
      <c r="K335" s="59"/>
      <c r="L335" s="60"/>
      <c r="M335" s="60"/>
      <c r="N335" s="61"/>
      <c r="O335" s="61"/>
      <c r="P335" s="61"/>
      <c r="Q335" s="61"/>
      <c r="R335" s="61"/>
      <c r="S335" s="61"/>
      <c r="T335" s="62"/>
      <c r="U335" s="62"/>
    </row>
    <row r="336" spans="1:21" ht="16.5" x14ac:dyDescent="0.25">
      <c r="A336" s="55"/>
      <c r="B336" s="56"/>
      <c r="C336" s="56"/>
      <c r="D336" s="56"/>
      <c r="E336" s="57"/>
      <c r="F336" s="58"/>
      <c r="G336" s="58"/>
      <c r="H336" s="58"/>
      <c r="I336" s="59"/>
      <c r="J336" s="59"/>
      <c r="K336" s="59"/>
      <c r="L336" s="60"/>
      <c r="M336" s="60"/>
      <c r="N336" s="61"/>
      <c r="O336" s="61"/>
      <c r="P336" s="61"/>
      <c r="Q336" s="61"/>
      <c r="R336" s="61"/>
      <c r="S336" s="61"/>
      <c r="T336" s="62"/>
      <c r="U336" s="62"/>
    </row>
    <row r="337" spans="1:21" ht="16.5" x14ac:dyDescent="0.25">
      <c r="A337" s="55"/>
      <c r="B337" s="56"/>
      <c r="C337" s="56"/>
      <c r="D337" s="56"/>
      <c r="E337" s="57"/>
      <c r="F337" s="58"/>
      <c r="G337" s="58"/>
      <c r="H337" s="58"/>
      <c r="I337" s="59"/>
      <c r="J337" s="59"/>
      <c r="K337" s="59"/>
      <c r="L337" s="60"/>
      <c r="M337" s="60"/>
      <c r="N337" s="61"/>
      <c r="O337" s="61"/>
      <c r="P337" s="61"/>
      <c r="Q337" s="61"/>
      <c r="R337" s="61"/>
      <c r="S337" s="61"/>
      <c r="T337" s="62"/>
      <c r="U337" s="62"/>
    </row>
    <row r="338" spans="1:21" ht="16.5" x14ac:dyDescent="0.25">
      <c r="A338" s="55"/>
      <c r="B338" s="56"/>
      <c r="C338" s="56"/>
      <c r="D338" s="56"/>
      <c r="E338" s="57"/>
      <c r="F338" s="58"/>
      <c r="G338" s="58"/>
      <c r="H338" s="58"/>
      <c r="I338" s="59"/>
      <c r="J338" s="59"/>
      <c r="K338" s="59"/>
      <c r="L338" s="60"/>
      <c r="M338" s="60"/>
      <c r="N338" s="61"/>
      <c r="O338" s="61"/>
      <c r="P338" s="61"/>
      <c r="Q338" s="61"/>
      <c r="R338" s="61"/>
      <c r="S338" s="61"/>
      <c r="T338" s="62"/>
      <c r="U338" s="62"/>
    </row>
    <row r="339" spans="1:21" ht="16.5" x14ac:dyDescent="0.25">
      <c r="A339" s="55"/>
      <c r="B339" s="56"/>
      <c r="C339" s="56"/>
      <c r="D339" s="56"/>
      <c r="E339" s="57"/>
      <c r="F339" s="58"/>
      <c r="G339" s="58"/>
      <c r="H339" s="58"/>
      <c r="I339" s="59"/>
      <c r="J339" s="59"/>
      <c r="K339" s="59"/>
      <c r="L339" s="60"/>
      <c r="M339" s="60"/>
      <c r="N339" s="61"/>
      <c r="O339" s="61"/>
      <c r="P339" s="61"/>
      <c r="Q339" s="61"/>
      <c r="R339" s="61"/>
      <c r="S339" s="61"/>
      <c r="T339" s="62"/>
      <c r="U339" s="62"/>
    </row>
    <row r="340" spans="1:21" ht="16.5" x14ac:dyDescent="0.25">
      <c r="A340" s="55"/>
      <c r="B340" s="56"/>
      <c r="C340" s="56"/>
      <c r="D340" s="56"/>
      <c r="E340" s="57"/>
      <c r="F340" s="58"/>
      <c r="G340" s="58"/>
      <c r="H340" s="58"/>
      <c r="I340" s="59"/>
      <c r="J340" s="59"/>
      <c r="K340" s="59"/>
      <c r="L340" s="60"/>
      <c r="M340" s="60"/>
      <c r="N340" s="61"/>
      <c r="O340" s="61"/>
      <c r="P340" s="61"/>
      <c r="Q340" s="61"/>
      <c r="R340" s="61"/>
      <c r="S340" s="61"/>
      <c r="T340" s="62"/>
      <c r="U340" s="62"/>
    </row>
    <row r="341" spans="1:21" ht="16.5" x14ac:dyDescent="0.25">
      <c r="A341" s="55"/>
      <c r="B341" s="56"/>
      <c r="C341" s="56"/>
      <c r="D341" s="56"/>
      <c r="E341" s="57"/>
      <c r="F341" s="58"/>
      <c r="G341" s="58"/>
      <c r="H341" s="58"/>
      <c r="I341" s="59"/>
      <c r="J341" s="59"/>
      <c r="K341" s="59"/>
      <c r="L341" s="60"/>
      <c r="M341" s="60"/>
      <c r="N341" s="61"/>
      <c r="O341" s="61"/>
      <c r="P341" s="61"/>
      <c r="Q341" s="61"/>
      <c r="R341" s="61"/>
      <c r="S341" s="61"/>
      <c r="T341" s="62"/>
      <c r="U341" s="62"/>
    </row>
    <row r="342" spans="1:21" ht="16.5" x14ac:dyDescent="0.25">
      <c r="A342" s="55"/>
      <c r="B342" s="56"/>
      <c r="C342" s="56"/>
      <c r="D342" s="56"/>
      <c r="E342" s="57"/>
      <c r="F342" s="58"/>
      <c r="G342" s="58"/>
      <c r="H342" s="58"/>
      <c r="I342" s="59"/>
      <c r="J342" s="59"/>
      <c r="K342" s="59"/>
      <c r="L342" s="60"/>
      <c r="M342" s="60"/>
      <c r="N342" s="61"/>
      <c r="O342" s="61"/>
      <c r="P342" s="61"/>
      <c r="Q342" s="61"/>
      <c r="R342" s="61"/>
      <c r="S342" s="61"/>
      <c r="T342" s="62"/>
      <c r="U342" s="62"/>
    </row>
    <row r="343" spans="1:21" ht="16.5" x14ac:dyDescent="0.25">
      <c r="A343" s="55"/>
      <c r="B343" s="56"/>
      <c r="C343" s="56"/>
      <c r="D343" s="56"/>
      <c r="E343" s="57"/>
      <c r="F343" s="58"/>
      <c r="G343" s="58"/>
      <c r="H343" s="58"/>
      <c r="I343" s="59"/>
      <c r="J343" s="59"/>
      <c r="K343" s="59"/>
      <c r="L343" s="60"/>
      <c r="M343" s="60"/>
      <c r="N343" s="61"/>
      <c r="O343" s="61"/>
      <c r="P343" s="61"/>
      <c r="Q343" s="61"/>
      <c r="R343" s="61"/>
      <c r="S343" s="61"/>
      <c r="T343" s="62"/>
      <c r="U343" s="62"/>
    </row>
    <row r="344" spans="1:21" ht="16.5" x14ac:dyDescent="0.25">
      <c r="A344" s="55"/>
      <c r="B344" s="56"/>
      <c r="C344" s="56"/>
      <c r="D344" s="56"/>
      <c r="E344" s="57"/>
      <c r="F344" s="58"/>
      <c r="G344" s="58"/>
      <c r="H344" s="58"/>
      <c r="I344" s="59"/>
      <c r="J344" s="59"/>
      <c r="K344" s="59"/>
      <c r="L344" s="60"/>
      <c r="M344" s="60"/>
      <c r="N344" s="61"/>
      <c r="O344" s="61"/>
      <c r="P344" s="61"/>
      <c r="Q344" s="61"/>
      <c r="R344" s="61"/>
      <c r="S344" s="61"/>
      <c r="T344" s="62"/>
      <c r="U344" s="62"/>
    </row>
    <row r="345" spans="1:21" ht="16.5" x14ac:dyDescent="0.25">
      <c r="A345" s="55"/>
      <c r="B345" s="56"/>
      <c r="C345" s="56"/>
      <c r="D345" s="56"/>
      <c r="E345" s="57"/>
      <c r="F345" s="58"/>
      <c r="G345" s="58"/>
      <c r="H345" s="58"/>
      <c r="I345" s="59"/>
      <c r="J345" s="59"/>
      <c r="K345" s="59"/>
      <c r="L345" s="60"/>
      <c r="M345" s="60"/>
      <c r="N345" s="61"/>
      <c r="O345" s="61"/>
      <c r="P345" s="61"/>
      <c r="Q345" s="61"/>
      <c r="R345" s="61"/>
      <c r="S345" s="61"/>
      <c r="T345" s="62"/>
      <c r="U345" s="62"/>
    </row>
    <row r="346" spans="1:21" ht="16.5" x14ac:dyDescent="0.25">
      <c r="A346" s="55"/>
      <c r="B346" s="56"/>
      <c r="C346" s="56"/>
      <c r="D346" s="56"/>
      <c r="E346" s="57"/>
      <c r="F346" s="58"/>
      <c r="G346" s="58"/>
      <c r="H346" s="58"/>
      <c r="I346" s="59"/>
      <c r="J346" s="59"/>
      <c r="K346" s="59"/>
      <c r="L346" s="60"/>
      <c r="M346" s="60"/>
      <c r="N346" s="61"/>
      <c r="O346" s="61"/>
      <c r="P346" s="61"/>
      <c r="Q346" s="61"/>
      <c r="R346" s="61"/>
      <c r="S346" s="61"/>
      <c r="T346" s="62"/>
      <c r="U346" s="62"/>
    </row>
    <row r="347" spans="1:21" ht="16.5" x14ac:dyDescent="0.25">
      <c r="A347" s="55"/>
      <c r="B347" s="56"/>
      <c r="C347" s="56"/>
      <c r="D347" s="56"/>
      <c r="E347" s="57"/>
      <c r="F347" s="58"/>
      <c r="G347" s="58"/>
      <c r="H347" s="58"/>
      <c r="I347" s="59"/>
      <c r="J347" s="59"/>
      <c r="K347" s="59"/>
      <c r="L347" s="60"/>
      <c r="M347" s="60"/>
      <c r="N347" s="61"/>
      <c r="O347" s="61"/>
      <c r="P347" s="61"/>
      <c r="Q347" s="61"/>
      <c r="R347" s="61"/>
      <c r="S347" s="61"/>
      <c r="T347" s="62"/>
      <c r="U347" s="62"/>
    </row>
    <row r="348" spans="1:21" ht="16.5" x14ac:dyDescent="0.25">
      <c r="A348" s="55"/>
      <c r="B348" s="56"/>
      <c r="C348" s="56"/>
      <c r="D348" s="56"/>
      <c r="E348" s="57"/>
      <c r="F348" s="58"/>
      <c r="G348" s="58"/>
      <c r="H348" s="58"/>
      <c r="I348" s="59"/>
      <c r="J348" s="59"/>
      <c r="K348" s="59"/>
      <c r="L348" s="60"/>
      <c r="M348" s="60"/>
      <c r="N348" s="61"/>
      <c r="O348" s="61"/>
      <c r="P348" s="61"/>
      <c r="Q348" s="61"/>
      <c r="R348" s="61"/>
      <c r="S348" s="61"/>
      <c r="T348" s="62"/>
      <c r="U348" s="62"/>
    </row>
    <row r="349" spans="1:21" ht="16.5" x14ac:dyDescent="0.25">
      <c r="A349" s="55"/>
      <c r="B349" s="56"/>
      <c r="C349" s="56"/>
      <c r="D349" s="56"/>
      <c r="E349" s="57"/>
      <c r="F349" s="58"/>
      <c r="G349" s="58"/>
      <c r="H349" s="58"/>
      <c r="I349" s="59"/>
      <c r="J349" s="59"/>
      <c r="K349" s="59"/>
      <c r="L349" s="60"/>
      <c r="M349" s="60"/>
      <c r="N349" s="61"/>
      <c r="O349" s="61"/>
      <c r="P349" s="61"/>
      <c r="Q349" s="61"/>
      <c r="R349" s="61"/>
      <c r="S349" s="61"/>
      <c r="T349" s="62"/>
      <c r="U349" s="62"/>
    </row>
    <row r="350" spans="1:21" ht="16.5" x14ac:dyDescent="0.25">
      <c r="A350" s="55"/>
      <c r="B350" s="56"/>
      <c r="C350" s="56"/>
      <c r="D350" s="56"/>
      <c r="E350" s="57"/>
      <c r="F350" s="58"/>
      <c r="G350" s="58"/>
      <c r="H350" s="58"/>
      <c r="I350" s="59"/>
      <c r="J350" s="59"/>
      <c r="K350" s="59"/>
      <c r="L350" s="60"/>
      <c r="M350" s="60"/>
      <c r="N350" s="61"/>
      <c r="O350" s="61"/>
      <c r="P350" s="61"/>
      <c r="Q350" s="61"/>
      <c r="R350" s="61"/>
      <c r="S350" s="61"/>
      <c r="T350" s="62"/>
      <c r="U350" s="62"/>
    </row>
    <row r="351" spans="1:21" ht="16.5" x14ac:dyDescent="0.25">
      <c r="A351" s="55"/>
      <c r="B351" s="56"/>
      <c r="C351" s="56"/>
      <c r="D351" s="56"/>
      <c r="E351" s="57"/>
      <c r="F351" s="58"/>
      <c r="G351" s="58"/>
      <c r="H351" s="58"/>
      <c r="I351" s="59"/>
      <c r="J351" s="59"/>
      <c r="K351" s="59"/>
      <c r="L351" s="60"/>
      <c r="M351" s="60"/>
      <c r="N351" s="61"/>
      <c r="O351" s="61"/>
      <c r="P351" s="61"/>
      <c r="Q351" s="61"/>
      <c r="R351" s="61"/>
      <c r="S351" s="61"/>
      <c r="T351" s="62"/>
      <c r="U351" s="62"/>
    </row>
    <row r="352" spans="1:21" ht="16.5" x14ac:dyDescent="0.25">
      <c r="A352" s="55"/>
      <c r="B352" s="56"/>
      <c r="C352" s="56"/>
      <c r="D352" s="56"/>
      <c r="E352" s="57"/>
      <c r="F352" s="58"/>
      <c r="G352" s="58"/>
      <c r="H352" s="58"/>
      <c r="I352" s="59"/>
      <c r="J352" s="59"/>
      <c r="K352" s="59"/>
      <c r="L352" s="60"/>
      <c r="M352" s="60"/>
      <c r="N352" s="61"/>
      <c r="O352" s="61"/>
      <c r="P352" s="61"/>
      <c r="Q352" s="61"/>
      <c r="R352" s="61"/>
      <c r="S352" s="61"/>
      <c r="T352" s="62"/>
      <c r="U352" s="62"/>
    </row>
    <row r="353" spans="1:21" ht="16.5" x14ac:dyDescent="0.25">
      <c r="A353" s="55"/>
      <c r="B353" s="56"/>
      <c r="C353" s="56"/>
      <c r="D353" s="56"/>
      <c r="E353" s="57"/>
      <c r="F353" s="58"/>
      <c r="G353" s="58"/>
      <c r="H353" s="58"/>
      <c r="I353" s="59"/>
      <c r="J353" s="59"/>
      <c r="K353" s="59"/>
      <c r="L353" s="60"/>
      <c r="M353" s="60"/>
      <c r="N353" s="61"/>
      <c r="O353" s="61"/>
      <c r="P353" s="61"/>
      <c r="Q353" s="61"/>
      <c r="R353" s="61"/>
      <c r="S353" s="61"/>
      <c r="T353" s="62"/>
      <c r="U353" s="62"/>
    </row>
    <row r="354" spans="1:21" ht="16.5" x14ac:dyDescent="0.25">
      <c r="A354" s="55"/>
      <c r="B354" s="56"/>
      <c r="C354" s="56"/>
      <c r="D354" s="56"/>
      <c r="E354" s="57"/>
      <c r="F354" s="58"/>
      <c r="G354" s="58"/>
      <c r="H354" s="58"/>
      <c r="I354" s="59"/>
      <c r="J354" s="59"/>
      <c r="K354" s="59"/>
      <c r="L354" s="60"/>
      <c r="M354" s="60"/>
      <c r="N354" s="61"/>
      <c r="O354" s="61"/>
      <c r="P354" s="61"/>
      <c r="Q354" s="61"/>
      <c r="R354" s="61"/>
      <c r="S354" s="61"/>
      <c r="T354" s="62"/>
      <c r="U354" s="62"/>
    </row>
    <row r="355" spans="1:21" ht="16.5" x14ac:dyDescent="0.25">
      <c r="A355" s="55"/>
      <c r="B355" s="56"/>
      <c r="C355" s="56"/>
      <c r="D355" s="56"/>
      <c r="E355" s="57"/>
      <c r="F355" s="58"/>
      <c r="G355" s="58"/>
      <c r="H355" s="58"/>
      <c r="I355" s="59"/>
      <c r="J355" s="59"/>
      <c r="K355" s="59"/>
      <c r="L355" s="60"/>
      <c r="M355" s="60"/>
      <c r="N355" s="61"/>
      <c r="O355" s="61"/>
      <c r="P355" s="61"/>
      <c r="Q355" s="61"/>
      <c r="R355" s="61"/>
      <c r="S355" s="61"/>
      <c r="T355" s="62"/>
      <c r="U355" s="62"/>
    </row>
    <row r="356" spans="1:21" ht="16.5" x14ac:dyDescent="0.25">
      <c r="A356" s="55"/>
      <c r="B356" s="56"/>
      <c r="C356" s="56"/>
      <c r="D356" s="56"/>
      <c r="E356" s="57"/>
      <c r="F356" s="58"/>
      <c r="G356" s="58"/>
      <c r="H356" s="58"/>
      <c r="I356" s="59"/>
      <c r="J356" s="59"/>
      <c r="K356" s="59"/>
      <c r="L356" s="60"/>
      <c r="M356" s="60"/>
      <c r="N356" s="61"/>
      <c r="O356" s="61"/>
      <c r="P356" s="61"/>
      <c r="Q356" s="61"/>
      <c r="R356" s="61"/>
      <c r="S356" s="61"/>
      <c r="T356" s="62"/>
      <c r="U356" s="62"/>
    </row>
    <row r="357" spans="1:21" ht="16.5" x14ac:dyDescent="0.25">
      <c r="A357" s="55"/>
      <c r="B357" s="56"/>
      <c r="C357" s="56"/>
      <c r="D357" s="56"/>
      <c r="E357" s="57"/>
      <c r="F357" s="58"/>
      <c r="G357" s="58"/>
      <c r="H357" s="58"/>
      <c r="I357" s="59"/>
      <c r="J357" s="59"/>
      <c r="K357" s="59"/>
      <c r="L357" s="60"/>
      <c r="M357" s="60"/>
      <c r="N357" s="61"/>
      <c r="O357" s="61"/>
      <c r="P357" s="61"/>
      <c r="Q357" s="61"/>
      <c r="R357" s="61"/>
      <c r="S357" s="61"/>
      <c r="T357" s="62"/>
      <c r="U357" s="62"/>
    </row>
    <row r="358" spans="1:21" ht="16.5" x14ac:dyDescent="0.25">
      <c r="A358" s="55"/>
      <c r="B358" s="56"/>
      <c r="C358" s="56"/>
      <c r="D358" s="56"/>
      <c r="E358" s="57"/>
      <c r="F358" s="58"/>
      <c r="G358" s="58"/>
      <c r="H358" s="58"/>
      <c r="I358" s="59"/>
      <c r="J358" s="59"/>
      <c r="K358" s="59"/>
      <c r="L358" s="60"/>
      <c r="M358" s="60"/>
      <c r="N358" s="61"/>
      <c r="O358" s="61"/>
      <c r="P358" s="61"/>
      <c r="Q358" s="61"/>
      <c r="R358" s="61"/>
      <c r="S358" s="61"/>
      <c r="T358" s="62"/>
      <c r="U358" s="62"/>
    </row>
    <row r="359" spans="1:21" ht="16.5" x14ac:dyDescent="0.25">
      <c r="A359" s="55"/>
      <c r="B359" s="56"/>
      <c r="C359" s="56"/>
      <c r="D359" s="56"/>
      <c r="E359" s="57"/>
      <c r="F359" s="58"/>
      <c r="G359" s="58"/>
      <c r="H359" s="58"/>
      <c r="I359" s="59"/>
      <c r="J359" s="59"/>
      <c r="K359" s="59"/>
      <c r="L359" s="60"/>
      <c r="M359" s="60"/>
      <c r="N359" s="61"/>
      <c r="O359" s="61"/>
      <c r="P359" s="61"/>
      <c r="Q359" s="61"/>
      <c r="R359" s="61"/>
      <c r="S359" s="61"/>
      <c r="T359" s="62"/>
      <c r="U359" s="62"/>
    </row>
    <row r="360" spans="1:21" ht="16.5" x14ac:dyDescent="0.25">
      <c r="A360" s="55"/>
      <c r="B360" s="56"/>
      <c r="C360" s="56"/>
      <c r="D360" s="56"/>
      <c r="E360" s="57"/>
      <c r="F360" s="58"/>
      <c r="G360" s="58"/>
      <c r="H360" s="58"/>
      <c r="I360" s="59"/>
      <c r="J360" s="59"/>
      <c r="K360" s="59"/>
      <c r="L360" s="60"/>
      <c r="M360" s="60"/>
      <c r="N360" s="61"/>
      <c r="O360" s="61"/>
      <c r="P360" s="61"/>
      <c r="Q360" s="61"/>
      <c r="R360" s="61"/>
      <c r="S360" s="61"/>
      <c r="T360" s="62"/>
      <c r="U360" s="62"/>
    </row>
    <row r="361" spans="1:21" ht="16.5" x14ac:dyDescent="0.25">
      <c r="A361" s="55"/>
      <c r="B361" s="56"/>
      <c r="C361" s="56"/>
      <c r="D361" s="56"/>
      <c r="E361" s="57"/>
      <c r="F361" s="58"/>
      <c r="G361" s="58"/>
      <c r="H361" s="58"/>
      <c r="I361" s="59"/>
      <c r="J361" s="59"/>
      <c r="K361" s="59"/>
      <c r="L361" s="60"/>
      <c r="M361" s="60"/>
      <c r="N361" s="61"/>
      <c r="O361" s="61"/>
      <c r="P361" s="61"/>
      <c r="Q361" s="61"/>
      <c r="R361" s="61"/>
      <c r="S361" s="61"/>
      <c r="T361" s="62"/>
      <c r="U361" s="62"/>
    </row>
    <row r="362" spans="1:21" ht="16.5" x14ac:dyDescent="0.25">
      <c r="A362" s="55"/>
      <c r="B362" s="56"/>
      <c r="C362" s="56"/>
      <c r="D362" s="56"/>
      <c r="E362" s="57"/>
      <c r="F362" s="58"/>
      <c r="G362" s="58"/>
      <c r="H362" s="58"/>
      <c r="I362" s="59"/>
      <c r="J362" s="59"/>
      <c r="K362" s="59"/>
      <c r="L362" s="60"/>
      <c r="M362" s="60"/>
      <c r="N362" s="61"/>
      <c r="O362" s="61"/>
      <c r="P362" s="61"/>
      <c r="Q362" s="61"/>
      <c r="R362" s="61"/>
      <c r="S362" s="61"/>
      <c r="T362" s="62"/>
      <c r="U362" s="62"/>
    </row>
    <row r="363" spans="1:21" ht="16.5" x14ac:dyDescent="0.25">
      <c r="A363" s="55"/>
      <c r="B363" s="56"/>
      <c r="C363" s="56"/>
      <c r="D363" s="56"/>
      <c r="E363" s="57"/>
      <c r="F363" s="58"/>
      <c r="G363" s="58"/>
      <c r="H363" s="58"/>
      <c r="I363" s="59"/>
      <c r="J363" s="59"/>
      <c r="K363" s="59"/>
      <c r="L363" s="60"/>
      <c r="M363" s="60"/>
      <c r="N363" s="61"/>
      <c r="O363" s="61"/>
      <c r="P363" s="61"/>
      <c r="Q363" s="61"/>
      <c r="R363" s="61"/>
      <c r="S363" s="61"/>
      <c r="T363" s="62"/>
      <c r="U363" s="62"/>
    </row>
    <row r="364" spans="1:21" ht="16.5" x14ac:dyDescent="0.25">
      <c r="A364" s="55"/>
      <c r="B364" s="56"/>
      <c r="C364" s="56"/>
      <c r="D364" s="56"/>
      <c r="E364" s="57"/>
      <c r="F364" s="58"/>
      <c r="G364" s="58"/>
      <c r="H364" s="58"/>
      <c r="I364" s="59"/>
      <c r="J364" s="59"/>
      <c r="K364" s="59"/>
      <c r="L364" s="60"/>
      <c r="M364" s="60"/>
      <c r="N364" s="61"/>
      <c r="O364" s="61"/>
      <c r="P364" s="61"/>
      <c r="Q364" s="61"/>
      <c r="R364" s="61"/>
      <c r="S364" s="61"/>
      <c r="T364" s="62"/>
      <c r="U364" s="62"/>
    </row>
    <row r="365" spans="1:21" ht="16.5" x14ac:dyDescent="0.25">
      <c r="A365" s="55"/>
      <c r="B365" s="56"/>
      <c r="C365" s="56"/>
      <c r="D365" s="56"/>
      <c r="E365" s="57"/>
      <c r="F365" s="58"/>
      <c r="G365" s="58"/>
      <c r="H365" s="58"/>
      <c r="I365" s="59"/>
      <c r="J365" s="59"/>
      <c r="K365" s="59"/>
      <c r="L365" s="60"/>
      <c r="M365" s="60"/>
      <c r="N365" s="61"/>
      <c r="O365" s="61"/>
      <c r="P365" s="61"/>
      <c r="Q365" s="61"/>
      <c r="R365" s="61"/>
      <c r="S365" s="61"/>
      <c r="T365" s="62"/>
      <c r="U365" s="62"/>
    </row>
    <row r="366" spans="1:21" ht="16.5" x14ac:dyDescent="0.25">
      <c r="A366" s="55"/>
      <c r="B366" s="56"/>
      <c r="C366" s="56"/>
      <c r="D366" s="56"/>
      <c r="E366" s="57"/>
      <c r="F366" s="58"/>
      <c r="G366" s="58"/>
      <c r="H366" s="58"/>
      <c r="I366" s="59"/>
      <c r="J366" s="59"/>
      <c r="K366" s="59"/>
      <c r="L366" s="60"/>
      <c r="M366" s="60"/>
      <c r="N366" s="61"/>
      <c r="O366" s="61"/>
      <c r="P366" s="61"/>
      <c r="Q366" s="61"/>
      <c r="R366" s="61"/>
      <c r="S366" s="61"/>
      <c r="T366" s="62"/>
      <c r="U366" s="62"/>
    </row>
    <row r="367" spans="1:21" ht="16.5" x14ac:dyDescent="0.25">
      <c r="A367" s="55"/>
      <c r="B367" s="56"/>
      <c r="C367" s="56"/>
      <c r="D367" s="56"/>
      <c r="E367" s="57"/>
      <c r="F367" s="58"/>
      <c r="G367" s="58"/>
      <c r="H367" s="58"/>
      <c r="I367" s="59"/>
      <c r="J367" s="59"/>
      <c r="K367" s="59"/>
      <c r="L367" s="60"/>
      <c r="M367" s="60"/>
      <c r="N367" s="61"/>
      <c r="O367" s="61"/>
      <c r="P367" s="61"/>
      <c r="Q367" s="61"/>
      <c r="R367" s="61"/>
      <c r="S367" s="61"/>
      <c r="T367" s="62"/>
      <c r="U367" s="62"/>
    </row>
    <row r="368" spans="1:21" ht="16.5" x14ac:dyDescent="0.25">
      <c r="A368" s="55"/>
      <c r="B368" s="56"/>
      <c r="C368" s="56"/>
      <c r="D368" s="56"/>
      <c r="E368" s="57"/>
      <c r="F368" s="58"/>
      <c r="G368" s="58"/>
      <c r="H368" s="58"/>
      <c r="I368" s="59"/>
      <c r="J368" s="59"/>
      <c r="K368" s="59"/>
      <c r="L368" s="60"/>
      <c r="M368" s="60"/>
      <c r="N368" s="61"/>
      <c r="O368" s="61"/>
      <c r="P368" s="61"/>
      <c r="Q368" s="61"/>
      <c r="R368" s="61"/>
      <c r="S368" s="61"/>
      <c r="T368" s="62"/>
      <c r="U368" s="62"/>
    </row>
    <row r="369" spans="1:21" ht="16.5" x14ac:dyDescent="0.25">
      <c r="A369" s="55"/>
      <c r="B369" s="56"/>
      <c r="C369" s="56"/>
      <c r="D369" s="56"/>
      <c r="E369" s="57"/>
      <c r="F369" s="58"/>
      <c r="G369" s="58"/>
      <c r="H369" s="58"/>
      <c r="I369" s="59"/>
      <c r="J369" s="59"/>
      <c r="K369" s="59"/>
      <c r="L369" s="60"/>
      <c r="M369" s="60"/>
      <c r="N369" s="61"/>
      <c r="O369" s="61"/>
      <c r="P369" s="61"/>
      <c r="Q369" s="61"/>
      <c r="R369" s="61"/>
      <c r="S369" s="61"/>
      <c r="T369" s="62"/>
      <c r="U369" s="62"/>
    </row>
    <row r="370" spans="1:21" ht="16.5" x14ac:dyDescent="0.25">
      <c r="A370" s="55"/>
      <c r="B370" s="56"/>
      <c r="C370" s="56"/>
      <c r="D370" s="56"/>
      <c r="E370" s="57"/>
      <c r="F370" s="58"/>
      <c r="G370" s="58"/>
      <c r="H370" s="58"/>
      <c r="I370" s="59"/>
      <c r="J370" s="59"/>
      <c r="K370" s="59"/>
      <c r="L370" s="60"/>
      <c r="M370" s="60"/>
      <c r="N370" s="61"/>
      <c r="O370" s="61"/>
      <c r="P370" s="61"/>
      <c r="Q370" s="61"/>
      <c r="R370" s="61"/>
      <c r="S370" s="61"/>
      <c r="T370" s="62"/>
      <c r="U370" s="62"/>
    </row>
    <row r="371" spans="1:21" ht="16.5" x14ac:dyDescent="0.25">
      <c r="A371" s="55"/>
      <c r="B371" s="56"/>
      <c r="C371" s="56"/>
      <c r="D371" s="56"/>
      <c r="E371" s="57"/>
      <c r="F371" s="58"/>
      <c r="G371" s="58"/>
      <c r="H371" s="58"/>
      <c r="I371" s="59"/>
      <c r="J371" s="59"/>
      <c r="K371" s="59"/>
      <c r="L371" s="60"/>
      <c r="M371" s="60"/>
      <c r="N371" s="61"/>
      <c r="O371" s="61"/>
      <c r="P371" s="61"/>
      <c r="Q371" s="61"/>
      <c r="R371" s="61"/>
      <c r="S371" s="61"/>
      <c r="T371" s="62"/>
      <c r="U371" s="62"/>
    </row>
    <row r="372" spans="1:21" ht="16.5" x14ac:dyDescent="0.25">
      <c r="A372" s="55"/>
      <c r="B372" s="56"/>
      <c r="C372" s="56"/>
      <c r="D372" s="56"/>
      <c r="E372" s="57"/>
      <c r="F372" s="58"/>
      <c r="G372" s="58"/>
      <c r="H372" s="58"/>
      <c r="I372" s="59"/>
      <c r="J372" s="59"/>
      <c r="K372" s="59"/>
      <c r="L372" s="60"/>
      <c r="M372" s="60"/>
      <c r="N372" s="61"/>
      <c r="O372" s="61"/>
      <c r="P372" s="61"/>
      <c r="Q372" s="61"/>
      <c r="R372" s="61"/>
      <c r="S372" s="61"/>
      <c r="T372" s="62"/>
      <c r="U372" s="62"/>
    </row>
    <row r="373" spans="1:21" ht="16.5" x14ac:dyDescent="0.25">
      <c r="A373" s="55"/>
      <c r="B373" s="56"/>
      <c r="C373" s="56"/>
      <c r="D373" s="56"/>
      <c r="E373" s="57"/>
      <c r="F373" s="58"/>
      <c r="G373" s="58"/>
      <c r="H373" s="58"/>
      <c r="I373" s="59"/>
      <c r="J373" s="59"/>
      <c r="K373" s="59"/>
      <c r="L373" s="60"/>
      <c r="M373" s="60"/>
      <c r="N373" s="61"/>
      <c r="O373" s="61"/>
      <c r="P373" s="61"/>
      <c r="Q373" s="61"/>
      <c r="R373" s="61"/>
      <c r="S373" s="61"/>
      <c r="T373" s="62"/>
      <c r="U373" s="62"/>
    </row>
    <row r="374" spans="1:21" ht="16.5" x14ac:dyDescent="0.25">
      <c r="A374" s="55"/>
      <c r="B374" s="56"/>
      <c r="C374" s="56"/>
      <c r="D374" s="56"/>
      <c r="E374" s="57"/>
      <c r="F374" s="58"/>
      <c r="G374" s="58"/>
      <c r="H374" s="58"/>
      <c r="I374" s="59"/>
      <c r="J374" s="59"/>
      <c r="K374" s="59"/>
      <c r="L374" s="60"/>
      <c r="M374" s="60"/>
      <c r="N374" s="61"/>
      <c r="O374" s="61"/>
      <c r="P374" s="61"/>
      <c r="Q374" s="61"/>
      <c r="R374" s="61"/>
      <c r="S374" s="61"/>
      <c r="T374" s="62"/>
      <c r="U374" s="62"/>
    </row>
    <row r="375" spans="1:21" ht="16.5" x14ac:dyDescent="0.25">
      <c r="A375" s="55"/>
      <c r="B375" s="56"/>
      <c r="C375" s="56"/>
      <c r="D375" s="56"/>
      <c r="E375" s="57"/>
      <c r="F375" s="58"/>
      <c r="G375" s="58"/>
      <c r="H375" s="58"/>
      <c r="I375" s="59"/>
      <c r="J375" s="59"/>
      <c r="K375" s="59"/>
      <c r="L375" s="60"/>
      <c r="M375" s="60"/>
      <c r="N375" s="61"/>
      <c r="O375" s="61"/>
      <c r="P375" s="61"/>
      <c r="Q375" s="61"/>
      <c r="R375" s="61"/>
      <c r="S375" s="61"/>
      <c r="T375" s="62"/>
      <c r="U375" s="62"/>
    </row>
    <row r="376" spans="1:21" ht="16.5" x14ac:dyDescent="0.25">
      <c r="A376" s="55"/>
      <c r="B376" s="56"/>
      <c r="C376" s="56"/>
      <c r="D376" s="56"/>
      <c r="E376" s="57"/>
      <c r="F376" s="58"/>
      <c r="G376" s="58"/>
      <c r="H376" s="58"/>
      <c r="I376" s="59"/>
      <c r="J376" s="59"/>
      <c r="K376" s="59"/>
      <c r="L376" s="60"/>
      <c r="M376" s="60"/>
      <c r="N376" s="61"/>
      <c r="O376" s="61"/>
      <c r="P376" s="61"/>
      <c r="Q376" s="61"/>
      <c r="R376" s="61"/>
      <c r="S376" s="61"/>
      <c r="T376" s="62"/>
      <c r="U376" s="62"/>
    </row>
    <row r="377" spans="1:21" ht="16.5" x14ac:dyDescent="0.25">
      <c r="A377" s="55"/>
      <c r="B377" s="56"/>
      <c r="C377" s="56"/>
      <c r="D377" s="56"/>
      <c r="E377" s="57"/>
      <c r="F377" s="58"/>
      <c r="G377" s="58"/>
      <c r="H377" s="58"/>
      <c r="I377" s="59"/>
      <c r="J377" s="59"/>
      <c r="K377" s="59"/>
      <c r="L377" s="60"/>
      <c r="M377" s="60"/>
      <c r="N377" s="61"/>
      <c r="O377" s="61"/>
      <c r="P377" s="61"/>
      <c r="Q377" s="61"/>
      <c r="R377" s="61"/>
      <c r="S377" s="61"/>
      <c r="T377" s="62"/>
      <c r="U377" s="62"/>
    </row>
    <row r="378" spans="1:21" ht="16.5" x14ac:dyDescent="0.25">
      <c r="A378" s="55"/>
      <c r="B378" s="56"/>
      <c r="C378" s="56"/>
      <c r="D378" s="56"/>
      <c r="E378" s="57"/>
      <c r="F378" s="58"/>
      <c r="G378" s="58"/>
      <c r="H378" s="58"/>
      <c r="I378" s="59"/>
      <c r="J378" s="59"/>
      <c r="K378" s="59"/>
      <c r="L378" s="60"/>
      <c r="M378" s="60"/>
      <c r="N378" s="61"/>
      <c r="O378" s="61"/>
      <c r="P378" s="61"/>
      <c r="Q378" s="61"/>
      <c r="R378" s="61"/>
      <c r="S378" s="61"/>
      <c r="T378" s="62"/>
      <c r="U378" s="62"/>
    </row>
    <row r="379" spans="1:21" ht="16.5" x14ac:dyDescent="0.25">
      <c r="A379" s="55"/>
      <c r="B379" s="56"/>
      <c r="C379" s="56"/>
      <c r="D379" s="56"/>
      <c r="E379" s="57"/>
      <c r="F379" s="58"/>
      <c r="G379" s="58"/>
      <c r="H379" s="58"/>
      <c r="I379" s="59"/>
      <c r="J379" s="59"/>
      <c r="K379" s="59"/>
      <c r="L379" s="60"/>
      <c r="M379" s="60"/>
      <c r="N379" s="61"/>
      <c r="O379" s="61"/>
      <c r="P379" s="61"/>
      <c r="Q379" s="61"/>
      <c r="R379" s="61"/>
      <c r="S379" s="61"/>
      <c r="T379" s="62"/>
      <c r="U379" s="62"/>
    </row>
    <row r="380" spans="1:21" ht="16.5" x14ac:dyDescent="0.25">
      <c r="A380" s="55"/>
      <c r="B380" s="56"/>
      <c r="C380" s="56"/>
      <c r="D380" s="56"/>
      <c r="E380" s="57"/>
      <c r="F380" s="58"/>
      <c r="G380" s="58"/>
      <c r="H380" s="58"/>
      <c r="I380" s="59"/>
      <c r="J380" s="59"/>
      <c r="K380" s="59"/>
      <c r="L380" s="60"/>
      <c r="M380" s="60"/>
      <c r="N380" s="61"/>
      <c r="O380" s="61"/>
      <c r="P380" s="61"/>
      <c r="Q380" s="61"/>
      <c r="R380" s="61"/>
      <c r="S380" s="61"/>
      <c r="T380" s="62"/>
      <c r="U380" s="62"/>
    </row>
    <row r="381" spans="1:21" ht="16.5" x14ac:dyDescent="0.25">
      <c r="A381" s="55"/>
      <c r="B381" s="56"/>
      <c r="C381" s="56"/>
      <c r="D381" s="56"/>
      <c r="E381" s="57"/>
      <c r="F381" s="58"/>
      <c r="G381" s="58"/>
      <c r="H381" s="58"/>
      <c r="I381" s="59"/>
      <c r="J381" s="59"/>
      <c r="K381" s="59"/>
      <c r="L381" s="60"/>
      <c r="M381" s="60"/>
      <c r="N381" s="61"/>
      <c r="O381" s="61"/>
      <c r="P381" s="61"/>
      <c r="Q381" s="61"/>
      <c r="R381" s="61"/>
      <c r="S381" s="61"/>
      <c r="T381" s="62"/>
      <c r="U381" s="62"/>
    </row>
    <row r="382" spans="1:21" ht="16.5" x14ac:dyDescent="0.25">
      <c r="A382" s="55"/>
      <c r="B382" s="56"/>
      <c r="C382" s="56"/>
      <c r="D382" s="56"/>
      <c r="E382" s="57"/>
      <c r="F382" s="58"/>
      <c r="G382" s="58"/>
      <c r="H382" s="58"/>
      <c r="I382" s="59"/>
      <c r="J382" s="59"/>
      <c r="K382" s="59"/>
      <c r="L382" s="60"/>
      <c r="M382" s="60"/>
      <c r="N382" s="61"/>
      <c r="O382" s="61"/>
      <c r="P382" s="61"/>
      <c r="Q382" s="61"/>
      <c r="R382" s="61"/>
      <c r="S382" s="61"/>
      <c r="T382" s="62"/>
      <c r="U382" s="62"/>
    </row>
    <row r="383" spans="1:21" ht="16.5" x14ac:dyDescent="0.25">
      <c r="A383" s="55"/>
      <c r="B383" s="56"/>
      <c r="C383" s="56"/>
      <c r="D383" s="56"/>
      <c r="E383" s="57"/>
      <c r="F383" s="58"/>
      <c r="G383" s="58"/>
      <c r="H383" s="58"/>
      <c r="I383" s="59"/>
      <c r="J383" s="59"/>
      <c r="K383" s="59"/>
      <c r="L383" s="60"/>
      <c r="M383" s="60"/>
      <c r="N383" s="61"/>
      <c r="O383" s="61"/>
      <c r="P383" s="61"/>
      <c r="Q383" s="61"/>
      <c r="R383" s="61"/>
      <c r="S383" s="61"/>
      <c r="T383" s="62"/>
      <c r="U383" s="62"/>
    </row>
    <row r="384" spans="1:21" ht="16.5" x14ac:dyDescent="0.25">
      <c r="A384" s="55"/>
      <c r="B384" s="56"/>
      <c r="C384" s="56"/>
      <c r="D384" s="56"/>
      <c r="E384" s="57"/>
      <c r="F384" s="58"/>
      <c r="G384" s="58"/>
      <c r="H384" s="58"/>
      <c r="I384" s="59"/>
      <c r="J384" s="59"/>
      <c r="K384" s="59"/>
      <c r="L384" s="60"/>
      <c r="M384" s="60"/>
      <c r="N384" s="61"/>
      <c r="O384" s="61"/>
      <c r="P384" s="61"/>
      <c r="Q384" s="61"/>
      <c r="R384" s="61"/>
      <c r="S384" s="61"/>
      <c r="T384" s="62"/>
      <c r="U384" s="62"/>
    </row>
    <row r="385" spans="1:21" ht="16.5" x14ac:dyDescent="0.25">
      <c r="A385" s="55"/>
      <c r="B385" s="56"/>
      <c r="C385" s="56"/>
      <c r="D385" s="56"/>
      <c r="E385" s="57"/>
      <c r="F385" s="58"/>
      <c r="G385" s="58"/>
      <c r="H385" s="58"/>
      <c r="I385" s="59"/>
      <c r="J385" s="59"/>
      <c r="K385" s="59"/>
      <c r="L385" s="60"/>
      <c r="M385" s="60"/>
      <c r="N385" s="61"/>
      <c r="O385" s="61"/>
      <c r="P385" s="61"/>
      <c r="Q385" s="61"/>
      <c r="R385" s="61"/>
      <c r="S385" s="61"/>
      <c r="T385" s="62"/>
      <c r="U385" s="62"/>
    </row>
    <row r="386" spans="1:21" ht="16.5" x14ac:dyDescent="0.25">
      <c r="A386" s="55"/>
      <c r="B386" s="56"/>
      <c r="C386" s="56"/>
      <c r="D386" s="56"/>
      <c r="E386" s="57"/>
      <c r="F386" s="58"/>
      <c r="G386" s="58"/>
      <c r="H386" s="58"/>
      <c r="I386" s="59"/>
      <c r="J386" s="59"/>
      <c r="K386" s="59"/>
      <c r="L386" s="60"/>
      <c r="M386" s="60"/>
      <c r="N386" s="61"/>
      <c r="O386" s="61"/>
      <c r="P386" s="61"/>
      <c r="Q386" s="61"/>
      <c r="R386" s="61"/>
      <c r="S386" s="61"/>
      <c r="T386" s="62"/>
      <c r="U386" s="62"/>
    </row>
    <row r="387" spans="1:21" ht="16.5" x14ac:dyDescent="0.25">
      <c r="A387" s="55"/>
      <c r="B387" s="56"/>
      <c r="C387" s="56"/>
      <c r="D387" s="56"/>
      <c r="E387" s="57"/>
      <c r="F387" s="58"/>
      <c r="G387" s="58"/>
      <c r="H387" s="58"/>
      <c r="I387" s="59"/>
      <c r="J387" s="59"/>
      <c r="K387" s="59"/>
      <c r="L387" s="60"/>
      <c r="M387" s="60"/>
      <c r="N387" s="61"/>
      <c r="O387" s="61"/>
      <c r="P387" s="61"/>
      <c r="Q387" s="61"/>
      <c r="R387" s="61"/>
      <c r="S387" s="61"/>
      <c r="T387" s="62"/>
      <c r="U387" s="62"/>
    </row>
    <row r="388" spans="1:21" ht="16.5" x14ac:dyDescent="0.25">
      <c r="A388" s="55"/>
      <c r="B388" s="56"/>
      <c r="C388" s="56"/>
      <c r="D388" s="56"/>
      <c r="E388" s="57"/>
      <c r="F388" s="58"/>
      <c r="G388" s="58"/>
      <c r="H388" s="58"/>
      <c r="I388" s="59"/>
      <c r="J388" s="59"/>
      <c r="K388" s="59"/>
      <c r="L388" s="60"/>
      <c r="M388" s="60"/>
      <c r="N388" s="61"/>
      <c r="O388" s="61"/>
      <c r="P388" s="61"/>
      <c r="Q388" s="61"/>
      <c r="R388" s="61"/>
      <c r="S388" s="61"/>
      <c r="T388" s="62"/>
      <c r="U388" s="62"/>
    </row>
    <row r="389" spans="1:21" ht="16.5" x14ac:dyDescent="0.25">
      <c r="A389" s="55"/>
      <c r="B389" s="56"/>
      <c r="C389" s="56"/>
      <c r="D389" s="56"/>
      <c r="E389" s="57"/>
      <c r="F389" s="58"/>
      <c r="G389" s="58"/>
      <c r="H389" s="58"/>
      <c r="I389" s="59"/>
      <c r="J389" s="59"/>
      <c r="K389" s="59"/>
      <c r="L389" s="60"/>
      <c r="M389" s="60"/>
      <c r="N389" s="61"/>
      <c r="O389" s="61"/>
      <c r="P389" s="61"/>
      <c r="Q389" s="61"/>
      <c r="R389" s="61"/>
      <c r="S389" s="61"/>
      <c r="T389" s="62"/>
      <c r="U389" s="62"/>
    </row>
    <row r="390" spans="1:21" ht="16.5" x14ac:dyDescent="0.25">
      <c r="A390" s="55"/>
      <c r="B390" s="56"/>
      <c r="C390" s="56"/>
      <c r="D390" s="56"/>
      <c r="E390" s="57"/>
      <c r="F390" s="58"/>
      <c r="G390" s="58"/>
      <c r="H390" s="58"/>
      <c r="I390" s="59"/>
      <c r="J390" s="59"/>
      <c r="K390" s="59"/>
      <c r="L390" s="60"/>
      <c r="M390" s="60"/>
      <c r="N390" s="61"/>
      <c r="O390" s="61"/>
      <c r="P390" s="61"/>
      <c r="Q390" s="61"/>
      <c r="R390" s="61"/>
      <c r="S390" s="61"/>
      <c r="T390" s="62"/>
      <c r="U390" s="62"/>
    </row>
    <row r="391" spans="1:21" ht="16.5" x14ac:dyDescent="0.25">
      <c r="A391" s="55"/>
      <c r="B391" s="56"/>
      <c r="C391" s="56"/>
      <c r="D391" s="56"/>
      <c r="E391" s="57"/>
      <c r="F391" s="58"/>
      <c r="G391" s="58"/>
      <c r="H391" s="58"/>
      <c r="I391" s="59"/>
      <c r="J391" s="59"/>
      <c r="K391" s="59"/>
      <c r="L391" s="60"/>
      <c r="M391" s="60"/>
      <c r="N391" s="61"/>
      <c r="O391" s="61"/>
      <c r="P391" s="61"/>
      <c r="Q391" s="61"/>
      <c r="R391" s="61"/>
      <c r="S391" s="61"/>
      <c r="T391" s="62"/>
      <c r="U391" s="62"/>
    </row>
    <row r="392" spans="1:21" ht="16.5" x14ac:dyDescent="0.25">
      <c r="A392" s="55"/>
      <c r="B392" s="56"/>
      <c r="C392" s="56"/>
      <c r="D392" s="56"/>
      <c r="E392" s="57"/>
      <c r="F392" s="58"/>
      <c r="G392" s="58"/>
      <c r="H392" s="58"/>
      <c r="I392" s="59"/>
      <c r="J392" s="59"/>
      <c r="K392" s="59"/>
      <c r="L392" s="60"/>
      <c r="M392" s="60"/>
      <c r="N392" s="61"/>
      <c r="O392" s="61"/>
      <c r="P392" s="61"/>
      <c r="Q392" s="61"/>
      <c r="R392" s="61"/>
      <c r="S392" s="61"/>
      <c r="T392" s="62"/>
      <c r="U392" s="62"/>
    </row>
    <row r="393" spans="1:21" ht="16.5" x14ac:dyDescent="0.25">
      <c r="A393" s="55"/>
      <c r="B393" s="56"/>
      <c r="C393" s="56"/>
      <c r="D393" s="56"/>
      <c r="E393" s="57"/>
      <c r="F393" s="58"/>
      <c r="G393" s="58"/>
      <c r="H393" s="58"/>
      <c r="I393" s="59"/>
      <c r="J393" s="59"/>
      <c r="K393" s="59"/>
      <c r="L393" s="60"/>
      <c r="M393" s="60"/>
      <c r="N393" s="61"/>
      <c r="O393" s="61"/>
      <c r="P393" s="61"/>
      <c r="Q393" s="61"/>
      <c r="R393" s="61"/>
      <c r="S393" s="61"/>
      <c r="T393" s="62"/>
      <c r="U393" s="62"/>
    </row>
    <row r="394" spans="1:21" ht="16.5" x14ac:dyDescent="0.25">
      <c r="A394" s="55"/>
      <c r="B394" s="56"/>
      <c r="C394" s="56"/>
      <c r="D394" s="56"/>
      <c r="E394" s="57"/>
      <c r="F394" s="58"/>
      <c r="G394" s="58"/>
      <c r="H394" s="58"/>
      <c r="I394" s="59"/>
      <c r="J394" s="59"/>
      <c r="K394" s="59"/>
      <c r="L394" s="60"/>
      <c r="M394" s="60"/>
      <c r="N394" s="61"/>
      <c r="O394" s="61"/>
      <c r="P394" s="61"/>
      <c r="Q394" s="61"/>
      <c r="R394" s="61"/>
      <c r="S394" s="61"/>
      <c r="T394" s="62"/>
      <c r="U394" s="62"/>
    </row>
    <row r="395" spans="1:21" ht="16.5" x14ac:dyDescent="0.25">
      <c r="A395" s="55"/>
      <c r="B395" s="56"/>
      <c r="C395" s="56"/>
      <c r="D395" s="56"/>
      <c r="E395" s="57"/>
      <c r="F395" s="58"/>
      <c r="G395" s="58"/>
      <c r="H395" s="58"/>
      <c r="I395" s="59"/>
      <c r="J395" s="59"/>
      <c r="K395" s="59"/>
      <c r="L395" s="60"/>
      <c r="M395" s="60"/>
      <c r="N395" s="61"/>
      <c r="O395" s="61"/>
      <c r="P395" s="61"/>
      <c r="Q395" s="61"/>
      <c r="R395" s="61"/>
      <c r="S395" s="61"/>
      <c r="T395" s="62"/>
      <c r="U395" s="62"/>
    </row>
    <row r="396" spans="1:21" ht="16.5" x14ac:dyDescent="0.25">
      <c r="A396" s="55"/>
      <c r="B396" s="56"/>
      <c r="C396" s="56"/>
      <c r="D396" s="56"/>
      <c r="E396" s="57"/>
      <c r="F396" s="58"/>
      <c r="G396" s="58"/>
      <c r="H396" s="58"/>
      <c r="I396" s="59"/>
      <c r="J396" s="59"/>
      <c r="K396" s="59"/>
      <c r="L396" s="60"/>
      <c r="M396" s="60"/>
      <c r="N396" s="61"/>
      <c r="O396" s="61"/>
      <c r="P396" s="61"/>
      <c r="Q396" s="61"/>
      <c r="R396" s="61"/>
      <c r="S396" s="61"/>
      <c r="T396" s="62"/>
      <c r="U396" s="62"/>
    </row>
    <row r="397" spans="1:21" ht="16.5" x14ac:dyDescent="0.25">
      <c r="A397" s="55"/>
      <c r="B397" s="56"/>
      <c r="C397" s="56"/>
      <c r="D397" s="56"/>
      <c r="E397" s="57"/>
      <c r="F397" s="58"/>
      <c r="G397" s="58"/>
      <c r="H397" s="58"/>
      <c r="I397" s="59"/>
      <c r="J397" s="59"/>
      <c r="K397" s="59"/>
      <c r="L397" s="60"/>
      <c r="M397" s="60"/>
      <c r="N397" s="61"/>
      <c r="O397" s="61"/>
      <c r="P397" s="61"/>
      <c r="Q397" s="61"/>
      <c r="R397" s="61"/>
      <c r="S397" s="61"/>
      <c r="T397" s="62"/>
      <c r="U397" s="62"/>
    </row>
    <row r="398" spans="1:21" ht="16.5" x14ac:dyDescent="0.25">
      <c r="A398" s="55"/>
      <c r="B398" s="56"/>
      <c r="C398" s="56"/>
      <c r="D398" s="56"/>
      <c r="E398" s="57"/>
      <c r="F398" s="58"/>
      <c r="G398" s="58"/>
      <c r="H398" s="58"/>
      <c r="I398" s="59"/>
      <c r="J398" s="59"/>
      <c r="K398" s="59"/>
      <c r="L398" s="60"/>
      <c r="M398" s="60"/>
      <c r="N398" s="61"/>
      <c r="O398" s="61"/>
      <c r="P398" s="61"/>
      <c r="Q398" s="61"/>
      <c r="R398" s="61"/>
      <c r="S398" s="61"/>
      <c r="T398" s="62"/>
      <c r="U398" s="62"/>
    </row>
    <row r="399" spans="1:21" ht="16.5" x14ac:dyDescent="0.25">
      <c r="A399" s="55"/>
      <c r="B399" s="56"/>
      <c r="C399" s="56"/>
      <c r="D399" s="56"/>
      <c r="E399" s="57"/>
      <c r="F399" s="58"/>
      <c r="G399" s="58"/>
      <c r="H399" s="58"/>
      <c r="I399" s="59"/>
      <c r="J399" s="59"/>
      <c r="K399" s="59"/>
      <c r="L399" s="60"/>
      <c r="M399" s="60"/>
      <c r="N399" s="61"/>
      <c r="O399" s="61"/>
      <c r="P399" s="61"/>
      <c r="Q399" s="61"/>
      <c r="R399" s="61"/>
      <c r="S399" s="61"/>
      <c r="T399" s="62"/>
      <c r="U399" s="62"/>
    </row>
    <row r="400" spans="1:21" ht="16.5" x14ac:dyDescent="0.25">
      <c r="A400" s="55"/>
      <c r="B400" s="56"/>
      <c r="C400" s="56"/>
      <c r="D400" s="56"/>
      <c r="E400" s="57"/>
      <c r="F400" s="58"/>
      <c r="G400" s="58"/>
      <c r="H400" s="58"/>
      <c r="I400" s="59"/>
      <c r="J400" s="59"/>
      <c r="K400" s="59"/>
      <c r="L400" s="60"/>
      <c r="M400" s="60"/>
      <c r="N400" s="61"/>
      <c r="O400" s="61"/>
      <c r="P400" s="61"/>
      <c r="Q400" s="61"/>
      <c r="R400" s="61"/>
      <c r="S400" s="61"/>
      <c r="T400" s="62"/>
      <c r="U400" s="62"/>
    </row>
    <row r="401" spans="1:21" ht="16.5" x14ac:dyDescent="0.25">
      <c r="A401" s="55"/>
      <c r="B401" s="56"/>
      <c r="C401" s="56"/>
      <c r="D401" s="56"/>
      <c r="E401" s="57"/>
      <c r="F401" s="58"/>
      <c r="G401" s="58"/>
      <c r="H401" s="58"/>
      <c r="I401" s="59"/>
      <c r="J401" s="59"/>
      <c r="K401" s="59"/>
      <c r="L401" s="60"/>
      <c r="M401" s="60"/>
      <c r="N401" s="61"/>
      <c r="O401" s="61"/>
      <c r="P401" s="61"/>
      <c r="Q401" s="61"/>
      <c r="R401" s="61"/>
      <c r="S401" s="61"/>
      <c r="T401" s="62"/>
      <c r="U401" s="62"/>
    </row>
    <row r="402" spans="1:21" ht="16.5" x14ac:dyDescent="0.25">
      <c r="A402" s="55"/>
      <c r="B402" s="56"/>
      <c r="C402" s="56"/>
      <c r="D402" s="56"/>
      <c r="E402" s="57"/>
      <c r="F402" s="58"/>
      <c r="G402" s="58"/>
      <c r="H402" s="58"/>
      <c r="I402" s="59"/>
      <c r="J402" s="59"/>
      <c r="K402" s="59"/>
      <c r="L402" s="60"/>
      <c r="M402" s="60"/>
      <c r="N402" s="61"/>
      <c r="O402" s="61"/>
      <c r="P402" s="61"/>
      <c r="Q402" s="61"/>
      <c r="R402" s="61"/>
      <c r="S402" s="61"/>
      <c r="T402" s="62"/>
      <c r="U402" s="62"/>
    </row>
    <row r="403" spans="1:21" ht="16.5" x14ac:dyDescent="0.25">
      <c r="A403" s="55"/>
      <c r="B403" s="56"/>
      <c r="C403" s="56"/>
      <c r="D403" s="56"/>
      <c r="E403" s="57"/>
      <c r="F403" s="58"/>
      <c r="G403" s="58"/>
      <c r="H403" s="58"/>
      <c r="I403" s="59"/>
      <c r="J403" s="59"/>
      <c r="K403" s="59"/>
      <c r="L403" s="60"/>
      <c r="M403" s="60"/>
      <c r="N403" s="61"/>
      <c r="O403" s="61"/>
      <c r="P403" s="61"/>
      <c r="Q403" s="61"/>
      <c r="R403" s="61"/>
      <c r="S403" s="61"/>
      <c r="T403" s="62"/>
      <c r="U403" s="62"/>
    </row>
    <row r="404" spans="1:21" ht="16.5" x14ac:dyDescent="0.25">
      <c r="A404" s="55"/>
      <c r="B404" s="56"/>
      <c r="C404" s="56"/>
      <c r="D404" s="56"/>
      <c r="E404" s="57"/>
      <c r="F404" s="58"/>
      <c r="G404" s="58"/>
      <c r="H404" s="58"/>
      <c r="I404" s="59"/>
      <c r="J404" s="59"/>
      <c r="K404" s="59"/>
      <c r="L404" s="60"/>
      <c r="M404" s="60"/>
      <c r="N404" s="61"/>
      <c r="O404" s="61"/>
      <c r="P404" s="61"/>
      <c r="Q404" s="61"/>
      <c r="R404" s="61"/>
      <c r="S404" s="61"/>
      <c r="T404" s="62"/>
      <c r="U404" s="62"/>
    </row>
    <row r="405" spans="1:21" ht="16.5" x14ac:dyDescent="0.25">
      <c r="A405" s="55"/>
      <c r="B405" s="56"/>
      <c r="C405" s="56"/>
      <c r="D405" s="56"/>
      <c r="E405" s="57"/>
      <c r="F405" s="58"/>
      <c r="G405" s="58"/>
      <c r="H405" s="58"/>
      <c r="I405" s="59"/>
      <c r="J405" s="59"/>
      <c r="K405" s="59"/>
      <c r="L405" s="60"/>
      <c r="M405" s="60"/>
      <c r="N405" s="61"/>
      <c r="O405" s="61"/>
      <c r="P405" s="61"/>
      <c r="Q405" s="61"/>
      <c r="R405" s="61"/>
      <c r="S405" s="61"/>
      <c r="T405" s="62"/>
      <c r="U405" s="62"/>
    </row>
    <row r="406" spans="1:21" ht="16.5" x14ac:dyDescent="0.25">
      <c r="A406" s="55"/>
      <c r="B406" s="56"/>
      <c r="C406" s="56"/>
      <c r="D406" s="56"/>
      <c r="E406" s="57"/>
      <c r="F406" s="58"/>
      <c r="G406" s="58"/>
      <c r="H406" s="58"/>
      <c r="I406" s="59"/>
      <c r="J406" s="59"/>
      <c r="K406" s="59"/>
      <c r="L406" s="60"/>
      <c r="M406" s="60"/>
      <c r="N406" s="61"/>
      <c r="O406" s="61"/>
      <c r="P406" s="61"/>
      <c r="Q406" s="61"/>
      <c r="R406" s="61"/>
      <c r="S406" s="61"/>
      <c r="T406" s="62"/>
      <c r="U406" s="62"/>
    </row>
    <row r="407" spans="1:21" ht="16.5" x14ac:dyDescent="0.25">
      <c r="A407" s="55"/>
      <c r="B407" s="56"/>
      <c r="C407" s="56"/>
      <c r="D407" s="56"/>
      <c r="E407" s="57"/>
      <c r="F407" s="58"/>
      <c r="G407" s="58"/>
      <c r="H407" s="58"/>
      <c r="I407" s="59"/>
      <c r="J407" s="59"/>
      <c r="K407" s="59"/>
      <c r="L407" s="60"/>
      <c r="M407" s="60"/>
      <c r="N407" s="61"/>
      <c r="O407" s="61"/>
      <c r="P407" s="61"/>
      <c r="Q407" s="61"/>
      <c r="R407" s="61"/>
      <c r="S407" s="61"/>
      <c r="T407" s="62"/>
      <c r="U407" s="62"/>
    </row>
    <row r="408" spans="1:21" ht="16.5" x14ac:dyDescent="0.25">
      <c r="A408" s="55"/>
      <c r="B408" s="56"/>
      <c r="C408" s="56"/>
      <c r="D408" s="56"/>
      <c r="E408" s="57"/>
      <c r="F408" s="58"/>
      <c r="G408" s="58"/>
      <c r="H408" s="58"/>
      <c r="I408" s="59"/>
      <c r="J408" s="59"/>
      <c r="K408" s="59"/>
      <c r="L408" s="60"/>
      <c r="M408" s="60"/>
      <c r="N408" s="61"/>
      <c r="O408" s="61"/>
      <c r="P408" s="61"/>
      <c r="Q408" s="61"/>
      <c r="R408" s="61"/>
      <c r="S408" s="61"/>
      <c r="T408" s="62"/>
      <c r="U408" s="62"/>
    </row>
  </sheetData>
  <sheetProtection selectLockedCells="1"/>
  <phoneticPr fontId="1" type="noConversion"/>
  <conditionalFormatting sqref="S2:S5 S7:S177">
    <cfRule type="iconSet" priority="142412">
      <iconSet iconSet="3Symbols">
        <cfvo type="percent" val="0"/>
        <cfvo type="num" val="-0.1"/>
        <cfvo type="num" val="-0.05"/>
      </iconSet>
    </cfRule>
  </conditionalFormatting>
  <conditionalFormatting sqref="S2:S5 S7:S408">
    <cfRule type="cellIs" dxfId="0" priority="142415" operator="equal">
      <formula>0</formula>
    </cfRule>
    <cfRule type="iconSet" priority="142416">
      <iconSet iconSet="3Symbols">
        <cfvo type="percent" val="0"/>
        <cfvo type="num" val="-0.1"/>
        <cfvo type="num" val="-0.05"/>
      </iconSet>
    </cfRule>
  </conditionalFormatting>
  <conditionalFormatting sqref="S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{A8BECE8E-B6BA-445D-9F43-78956C407E0B}</x14:id>
        </ext>
      </extLst>
    </cfRule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{6601A0D1-063A-4D4C-B0AE-2881E1CF3D75}</x14:id>
        </ext>
      </extLst>
    </cfRule>
  </conditionalFormatting>
  <conditionalFormatting sqref="T6:T7">
    <cfRule type="dataBar" priority="918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{FDFEADCB-D08C-4F7D-A7DE-DB1EEFBDBD46}</x14:id>
        </ext>
      </extLst>
    </cfRule>
    <cfRule type="dataBar" priority="1329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{476DC55E-E7B9-43ED-9E1B-529D92D740FC}</x14:id>
        </ext>
      </extLst>
    </cfRule>
  </conditionalFormatting>
  <conditionalFormatting sqref="T7">
    <cfRule type="dataBar" priority="99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{68940453-284F-4EA6-AEE7-EEB88900D673}</x14:id>
        </ext>
      </extLst>
    </cfRule>
    <cfRule type="dataBar" priority="99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{E85DAECB-F602-4271-A095-2C739AA134F8}</x14:id>
        </ext>
      </extLst>
    </cfRule>
    <cfRule type="dataBar" priority="1329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{C9C925CE-34FD-41A0-8B21-A008CDBF6D87}</x14:id>
        </ext>
      </extLst>
    </cfRule>
    <cfRule type="dataBar" priority="1329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{2381551B-7CB9-47A6-BFE6-0576074F5F5D}</x14:id>
        </ext>
      </extLst>
    </cfRule>
  </conditionalFormatting>
  <conditionalFormatting sqref="T7:T177">
    <cfRule type="dataBar" priority="1424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{47BD3D49-7FDB-42ED-AC68-9DF6755B5C47}</x14:id>
        </ext>
      </extLst>
    </cfRule>
    <cfRule type="dataBar" priority="1424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{574C411D-D5FF-44DC-B47B-3C29F4F26C8D}</x14:id>
        </ext>
      </extLst>
    </cfRule>
  </conditionalFormatting>
  <conditionalFormatting sqref="T8:T177">
    <cfRule type="dataBar" priority="1424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{F6E1A222-7F77-468F-AEF8-40478309C50C}</x14:id>
        </ext>
      </extLst>
    </cfRule>
    <cfRule type="dataBar" priority="1424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{4A72F2EF-CCED-422A-A29C-84558725A7BE}</x14:id>
        </ext>
      </extLst>
    </cfRule>
    <cfRule type="dataBar" priority="1424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{16855854-A6AA-47FB-AF86-6FE30C392639}</x14:id>
        </ext>
      </extLst>
    </cfRule>
    <cfRule type="dataBar" priority="1424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{4221959D-C3FA-4B19-BB1A-B0C97AFFD638}</x14:id>
        </ext>
      </extLst>
    </cfRule>
    <cfRule type="dataBar" priority="1424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{6EF5EC40-16C1-44D6-9A4C-675E012BFF5D}</x14:id>
        </ext>
      </extLst>
    </cfRule>
    <cfRule type="dataBar" priority="1424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{16C74A59-24EA-4EB0-9CE7-E60DAF896FEF}</x14:id>
        </ext>
      </extLst>
    </cfRule>
    <cfRule type="dataBar" priority="1424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{CE215D74-2897-4621-B64D-E72D9E1F6C17}</x14:id>
        </ext>
      </extLst>
    </cfRule>
    <cfRule type="dataBar" priority="1424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{45266B3F-2E04-4E85-8702-DCBC8293A64F}</x14:id>
        </ext>
      </extLst>
    </cfRule>
    <cfRule type="dataBar" priority="1424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{4DF7F8AE-FCC1-4544-B617-04C0216DA3C4}</x14:id>
        </ext>
      </extLst>
    </cfRule>
    <cfRule type="dataBar" priority="142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{A66FB50B-079C-4131-8F03-FACC7AE6E509}</x14:id>
        </ext>
      </extLst>
    </cfRule>
    <cfRule type="dataBar" priority="142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{A5F6961F-6839-45AA-8D03-087889F874F4}</x14:id>
        </ext>
      </extLst>
    </cfRule>
    <cfRule type="dataBar" priority="142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{442B9D4B-0B3A-4CC0-9700-A6DAF46387F3}</x14:id>
        </ext>
      </extLst>
    </cfRule>
    <cfRule type="dataBar" priority="142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{D428ABE3-2CB2-4AD2-8650-F7D390343E19}</x14:id>
        </ext>
      </extLst>
    </cfRule>
    <cfRule type="dataBar" priority="1424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{38228B91-78A4-4E04-B882-2551E0C8A833}</x14:id>
        </ext>
      </extLst>
    </cfRule>
    <cfRule type="dataBar" priority="1424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{99D0A326-30F9-446F-AE00-82971413CA94}</x14:id>
        </ext>
      </extLst>
    </cfRule>
    <cfRule type="dataBar" priority="1424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{03A671BB-A84B-4489-A619-35E9B2E98F83}</x14:id>
        </ext>
      </extLst>
    </cfRule>
    <cfRule type="dataBar" priority="1424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{BF63E79A-8AFA-4F4C-B2EF-A467EBD443B5}</x14:id>
        </ext>
      </extLst>
    </cfRule>
    <cfRule type="dataBar" priority="1424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{13E2A0E7-9453-4D9D-9FCC-10D94100BD9A}</x14:id>
        </ext>
      </extLst>
    </cfRule>
    <cfRule type="dataBar" priority="1424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{E10E31E9-7FE9-4B54-946D-1E2CEDA900A5}</x14:id>
        </ext>
      </extLst>
    </cfRule>
    <cfRule type="dataBar" priority="1424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{76E5E27D-5F1E-41DC-B102-4E4540FD9132}</x14:id>
        </ext>
      </extLst>
    </cfRule>
    <cfRule type="dataBar" priority="1424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{D7055B31-56AA-4795-9C88-C66315178AA3}</x14:id>
        </ext>
      </extLst>
    </cfRule>
    <cfRule type="dataBar" priority="1424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{DCC4E4F1-3184-419F-9D19-477793A4D6DA}</x14:id>
        </ext>
      </extLst>
    </cfRule>
    <cfRule type="dataBar" priority="1424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{1AC84717-E6B7-47D0-A902-C93C91840D35}</x14:id>
        </ext>
      </extLst>
    </cfRule>
    <cfRule type="dataBar" priority="1424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{B23383EE-8EA8-4527-A036-3F2F2E6D14B5}</x14:id>
        </ext>
      </extLst>
    </cfRule>
    <cfRule type="dataBar" priority="142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{D3964D58-22C3-44C4-A97D-DB0A648897D6}</x14:id>
        </ext>
      </extLst>
    </cfRule>
    <cfRule type="dataBar" priority="1424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{FF921D7C-9493-4C16-AA5C-C1F84612A860}</x14:id>
        </ext>
      </extLst>
    </cfRule>
    <cfRule type="dataBar" priority="1424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{1457183D-4890-462B-A07C-4B834F64DDB9}</x14:id>
        </ext>
      </extLst>
    </cfRule>
    <cfRule type="dataBar" priority="142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{06543752-715C-44F3-9884-2380435CFD27}</x14:id>
        </ext>
      </extLst>
    </cfRule>
    <cfRule type="dataBar" priority="1424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{F47B4B5E-EDE8-4291-B610-DEA3D34CB4D6}</x14:id>
        </ext>
      </extLst>
    </cfRule>
    <cfRule type="dataBar" priority="1424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{2FD45E2B-2F15-42D8-BFCC-8EF56480A906}</x14:id>
        </ext>
      </extLst>
    </cfRule>
    <cfRule type="dataBar" priority="1424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{0842D415-B4A0-4099-AD49-906FB7548EDF}</x14:id>
        </ext>
      </extLst>
    </cfRule>
    <cfRule type="dataBar" priority="1424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{B52B21C1-9BE9-4DC7-B436-7931733A31EB}</x14:id>
        </ext>
      </extLst>
    </cfRule>
    <cfRule type="dataBar" priority="1424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{8B959977-6421-46CC-9B8F-B90B00A1F2C7}</x14:id>
        </ext>
      </extLst>
    </cfRule>
    <cfRule type="dataBar" priority="1424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{991E2709-6D00-4F4F-966F-1ACA875DD68A}</x14:id>
        </ext>
      </extLst>
    </cfRule>
    <cfRule type="dataBar" priority="1424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{7BE3A660-D1C2-4CA1-85D7-5563E47488D3}</x14:id>
        </ext>
      </extLst>
    </cfRule>
    <cfRule type="dataBar" priority="1424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{015727A7-3E7A-4330-A0E3-6FB52270E485}</x14:id>
        </ext>
      </extLst>
    </cfRule>
    <cfRule type="dataBar" priority="1424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{487CF605-4247-44AF-BE6A-C00DFBC535F4}</x14:id>
        </ext>
      </extLst>
    </cfRule>
    <cfRule type="dataBar" priority="1424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{B60E8A81-AF6D-4A91-8848-23DE56F6148D}</x14:id>
        </ext>
      </extLst>
    </cfRule>
    <cfRule type="dataBar" priority="1424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{05F38C8B-7631-4FCD-9A11-698D69BC01F6}</x14:id>
        </ext>
      </extLst>
    </cfRule>
    <cfRule type="dataBar" priority="1424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{E3E6D6B4-A9BE-4444-9EDF-3AED23504350}</x14:id>
        </ext>
      </extLst>
    </cfRule>
    <cfRule type="dataBar" priority="142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{23C78061-9A31-4DE9-B951-F1276B681992}</x14:id>
        </ext>
      </extLst>
    </cfRule>
    <cfRule type="dataBar" priority="1424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{7B734FB6-AA5B-4D28-8B59-72504C845EBA}</x14:id>
        </ext>
      </extLst>
    </cfRule>
    <cfRule type="dataBar" priority="1424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{62B14BBC-CA10-42F0-B0B6-FF32FB480765}</x14:id>
        </ext>
      </extLst>
    </cfRule>
    <cfRule type="dataBar" priority="1424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{AE1898EF-30EF-453C-83BE-193C09B3E599}</x14:id>
        </ext>
      </extLst>
    </cfRule>
    <cfRule type="dataBar" priority="1424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{BD7B9D2E-D507-4281-8027-CABD185F6AA3}</x14:id>
        </ext>
      </extLst>
    </cfRule>
    <cfRule type="dataBar" priority="1424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{3CE238D0-D10E-41C9-9E71-F9EB9DDA4E72}</x14:id>
        </ext>
      </extLst>
    </cfRule>
    <cfRule type="dataBar" priority="1424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{A4398AD1-D32E-4B62-946A-DB671B5945AC}</x14:id>
        </ext>
      </extLst>
    </cfRule>
    <cfRule type="dataBar" priority="1424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{813A0227-3D9D-47F7-9CA8-660F30EA5AD4}</x14:id>
        </ext>
      </extLst>
    </cfRule>
    <cfRule type="dataBar" priority="1424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{D4A06EF4-C716-4840-B2E0-17EEB37E3B00}</x14:id>
        </ext>
      </extLst>
    </cfRule>
    <cfRule type="dataBar" priority="1424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{AA1AC185-4904-42CA-A812-381E10699F85}</x14:id>
        </ext>
      </extLst>
    </cfRule>
    <cfRule type="dataBar" priority="1424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{1A1741FC-339B-4B75-A7D3-63BEA1EFE7B4}</x14:id>
        </ext>
      </extLst>
    </cfRule>
    <cfRule type="dataBar" priority="1424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{BFD96F7E-E8B1-4E10-8E3E-A35FDB853C12}</x14:id>
        </ext>
      </extLst>
    </cfRule>
    <cfRule type="dataBar" priority="1424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{61693A53-3AA8-4FBC-99AB-E7A70747E5ED}</x14:id>
        </ext>
      </extLst>
    </cfRule>
    <cfRule type="dataBar" priority="1424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{A737C7CE-396F-401C-804C-EA7AE74511EA}</x14:id>
        </ext>
      </extLst>
    </cfRule>
    <cfRule type="dataBar" priority="1424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{AFD00F97-EA92-4BFE-BFA6-7DD766C3058D}</x14:id>
        </ext>
      </extLst>
    </cfRule>
    <cfRule type="dataBar" priority="1424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{A9E7EFE3-EAAF-4DEF-9420-5DB20D2E334C}</x14:id>
        </ext>
      </extLst>
    </cfRule>
    <cfRule type="dataBar" priority="1424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{85ACD2FE-AE37-48E1-B1C4-D4FA76707D8F}</x14:id>
        </ext>
      </extLst>
    </cfRule>
    <cfRule type="dataBar" priority="1424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{958DEA91-EE98-4D22-85C1-264C7AAF2203}</x14:id>
        </ext>
      </extLst>
    </cfRule>
    <cfRule type="dataBar" priority="1424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{83809D10-611F-415B-B2AB-2A9024FB0BF8}</x14:id>
        </ext>
      </extLst>
    </cfRule>
    <cfRule type="dataBar" priority="1424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{D6322F19-3C14-4556-9E53-CDA85A51E68A}</x14:id>
        </ext>
      </extLst>
    </cfRule>
    <cfRule type="dataBar" priority="1424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{3898AD76-3627-46BE-BC15-00831BA5E6EB}</x14:id>
        </ext>
      </extLst>
    </cfRule>
    <cfRule type="dataBar" priority="1424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{3294DA3D-9208-456B-9528-A516ACB87E61}</x14:id>
        </ext>
      </extLst>
    </cfRule>
    <cfRule type="dataBar" priority="1424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{36BE6FFE-B3B5-4086-A78B-A949D302A9CF}</x14:id>
        </ext>
      </extLst>
    </cfRule>
    <cfRule type="dataBar" priority="1424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{1AC466FD-4306-46C5-BB1E-223657274F00}</x14:id>
        </ext>
      </extLst>
    </cfRule>
    <cfRule type="dataBar" priority="1424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{04BB789B-92A9-4C91-8063-568A8D2D293D}</x14:id>
        </ext>
      </extLst>
    </cfRule>
    <cfRule type="dataBar" priority="1424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{09BDADB1-9329-4ECC-B05F-A008549F79BE}</x14:id>
        </ext>
      </extLst>
    </cfRule>
    <cfRule type="dataBar" priority="1424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{39F87E5F-5B36-412F-8421-068275F92BD0}</x14:id>
        </ext>
      </extLst>
    </cfRule>
    <cfRule type="dataBar" priority="1424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{A377826D-4FCF-41F7-85D9-434A3C9EF05D}</x14:id>
        </ext>
      </extLst>
    </cfRule>
    <cfRule type="dataBar" priority="1424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{69E8A071-AA77-4CCE-8107-661BC61A12C6}</x14:id>
        </ext>
      </extLst>
    </cfRule>
    <cfRule type="dataBar" priority="1424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{37D10D38-75EB-4D57-8E5A-B910C8769803}</x14:id>
        </ext>
      </extLst>
    </cfRule>
    <cfRule type="dataBar" priority="1424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{4FAE3A88-F341-4288-B696-D2582C7A93E5}</x14:id>
        </ext>
      </extLst>
    </cfRule>
    <cfRule type="dataBar" priority="1424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{84A75B32-8E09-4243-BF0B-2FD731F0B632}</x14:id>
        </ext>
      </extLst>
    </cfRule>
    <cfRule type="dataBar" priority="1424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{93C7ADA6-2AC2-4F56-B475-CA74F6B4403E}</x14:id>
        </ext>
      </extLst>
    </cfRule>
    <cfRule type="dataBar" priority="1424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{22AC642F-C085-4193-942E-01C6EC35A49B}</x14:id>
        </ext>
      </extLst>
    </cfRule>
    <cfRule type="dataBar" priority="1424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{CE74895A-B567-4038-9718-EFE79B45EB12}</x14:id>
        </ext>
      </extLst>
    </cfRule>
    <cfRule type="dataBar" priority="1425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{FAE4719D-871B-4969-BB37-DFA5A793547E}</x14:id>
        </ext>
      </extLst>
    </cfRule>
    <cfRule type="dataBar" priority="1425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{5BEF0BDB-80AD-40E4-8F09-6AE9F498CF72}</x14:id>
        </ext>
      </extLst>
    </cfRule>
    <cfRule type="dataBar" priority="1425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{3C9ABBF3-5D8D-45F7-AABF-62DCA7D059E1}</x14:id>
        </ext>
      </extLst>
    </cfRule>
    <cfRule type="dataBar" priority="1425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{55B5AECE-B1B9-4C82-B884-B850B8DE8AE7}</x14:id>
        </ext>
      </extLst>
    </cfRule>
    <cfRule type="dataBar" priority="1425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{A5F05CA3-0279-4CC4-986B-71604E5DDFB4}</x14:id>
        </ext>
      </extLst>
    </cfRule>
    <cfRule type="dataBar" priority="1425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{5C758EF0-BD76-4DF2-8735-69E7BE9ECE74}</x14:id>
        </ext>
      </extLst>
    </cfRule>
    <cfRule type="dataBar" priority="1425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{0A6CFBF2-EACF-4CBE-AADF-BB308EEBFBF5}</x14:id>
        </ext>
      </extLst>
    </cfRule>
    <cfRule type="dataBar" priority="1425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{53E7B336-652E-4F53-99AD-82A1A0292DB4}</x14:id>
        </ext>
      </extLst>
    </cfRule>
    <cfRule type="dataBar" priority="1425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{60031B55-B427-4B4C-81FE-C52E2C1A5F79}</x14:id>
        </ext>
      </extLst>
    </cfRule>
    <cfRule type="dataBar" priority="1425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{1ECDA031-FF4A-486F-A358-E04FDADF2C7B}</x14:id>
        </ext>
      </extLst>
    </cfRule>
    <cfRule type="dataBar" priority="1425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{EBA9F25B-9749-4343-979C-EE0B380B59B1}</x14:id>
        </ext>
      </extLst>
    </cfRule>
    <cfRule type="dataBar" priority="1425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{543317CE-0A74-4FB0-9E51-97DC73FECE62}</x14:id>
        </ext>
      </extLst>
    </cfRule>
    <cfRule type="dataBar" priority="1425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{BB49E55D-DACE-4B58-BF61-C8CE2F9F1442}</x14:id>
        </ext>
      </extLst>
    </cfRule>
    <cfRule type="dataBar" priority="1425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{FDE386C8-5B26-427C-BFC3-CC3D5307D6B0}</x14:id>
        </ext>
      </extLst>
    </cfRule>
    <cfRule type="dataBar" priority="1425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{23D779C3-6D8A-47E4-B86E-A0DA787CDC04}</x14:id>
        </ext>
      </extLst>
    </cfRule>
    <cfRule type="dataBar" priority="1425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{12D225A0-29D9-41BD-B439-F2E316106315}</x14:id>
        </ext>
      </extLst>
    </cfRule>
    <cfRule type="dataBar" priority="1425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{1C878AFC-E602-4395-91E7-059480C854E0}</x14:id>
        </ext>
      </extLst>
    </cfRule>
    <cfRule type="dataBar" priority="1425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{EDBC0EAD-9AD0-4F80-8E60-ADC71F2CB840}</x14:id>
        </ext>
      </extLst>
    </cfRule>
    <cfRule type="dataBar" priority="1425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{94C6004A-C25C-4370-BE5C-D323BA9BF77F}</x14:id>
        </ext>
      </extLst>
    </cfRule>
    <cfRule type="dataBar" priority="1425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{EDA3C4B2-9E3B-43E8-941D-5C892EB170B7}</x14:id>
        </ext>
      </extLst>
    </cfRule>
    <cfRule type="dataBar" priority="1425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{FE35D8BF-12BA-4560-AB2B-EA8A0515C6C7}</x14:id>
        </ext>
      </extLst>
    </cfRule>
    <cfRule type="dataBar" priority="1425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{253017C7-7A42-4409-87CD-05A2387234FC}</x14:id>
        </ext>
      </extLst>
    </cfRule>
    <cfRule type="dataBar" priority="1425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{3FBA2664-A867-4427-94AC-71D89C1D641A}</x14:id>
        </ext>
      </extLst>
    </cfRule>
    <cfRule type="dataBar" priority="1425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{8D749604-7A20-45E0-84A1-21BD730EC0FB}</x14:id>
        </ext>
      </extLst>
    </cfRule>
    <cfRule type="dataBar" priority="1425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{F4348DE4-492D-4478-827E-F8E04C261061}</x14:id>
        </ext>
      </extLst>
    </cfRule>
    <cfRule type="dataBar" priority="1425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{73B17131-F60F-47CF-8A56-0BE865F2D691}</x14:id>
        </ext>
      </extLst>
    </cfRule>
    <cfRule type="dataBar" priority="1425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{F651D2FF-C233-403F-9D04-77EA7A0BDBD4}</x14:id>
        </ext>
      </extLst>
    </cfRule>
    <cfRule type="dataBar" priority="1425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{98C1B212-AE7E-4426-B48A-6C992BA5B8AD}</x14:id>
        </ext>
      </extLst>
    </cfRule>
    <cfRule type="dataBar" priority="1425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{2A61F24D-DD6E-488B-88F7-CAFE4C0C6CE8}</x14:id>
        </ext>
      </extLst>
    </cfRule>
    <cfRule type="dataBar" priority="1425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{83969F20-D77C-452B-8127-61D1BB3A3700}</x14:id>
        </ext>
      </extLst>
    </cfRule>
    <cfRule type="dataBar" priority="1425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{08D7FA4B-CD11-4F37-A03B-F7997FECE66A}</x14:id>
        </ext>
      </extLst>
    </cfRule>
    <cfRule type="dataBar" priority="1425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{2048912E-E87E-452D-97F9-33EA7AC89868}</x14:id>
        </ext>
      </extLst>
    </cfRule>
    <cfRule type="dataBar" priority="1425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{C4000B19-04C5-44B3-88DC-F9FDB81BF6E4}</x14:id>
        </ext>
      </extLst>
    </cfRule>
    <cfRule type="dataBar" priority="1425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{92A76C5D-3864-4507-AB3F-B1137F31D0B7}</x14:id>
        </ext>
      </extLst>
    </cfRule>
    <cfRule type="dataBar" priority="1425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{BC7FC9FC-F09B-4B0B-84EB-5B3AAF2D975F}</x14:id>
        </ext>
      </extLst>
    </cfRule>
    <cfRule type="dataBar" priority="1425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{F8C94B96-8809-45D8-8DAE-2392EC1D9A36}</x14:id>
        </ext>
      </extLst>
    </cfRule>
    <cfRule type="dataBar" priority="1425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{CC249999-A079-47C1-BABB-C3482712D282}</x14:id>
        </ext>
      </extLst>
    </cfRule>
  </conditionalFormatting>
  <conditionalFormatting sqref="T178 T7">
    <cfRule type="dataBar" priority="95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{36FEB0BE-12CD-47B0-8735-431BF594C8B9}</x14:id>
        </ext>
      </extLst>
    </cfRule>
  </conditionalFormatting>
  <conditionalFormatting sqref="T178:T408">
    <cfRule type="dataBar" priority="98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{3A884DDA-74B4-4871-90D0-09372492E413}</x14:id>
        </ext>
      </extLst>
    </cfRule>
  </conditionalFormatting>
  <conditionalFormatting sqref="U8:U177">
    <cfRule type="dataBar" priority="142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{07309EA3-92B5-4D67-BBCF-E9C4DEF1E6B0}</x14:id>
        </ext>
      </extLst>
    </cfRule>
    <cfRule type="dataBar" priority="1425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{F7237EDE-132A-4085-8F74-FC5C4B63C914}</x14:id>
        </ext>
      </extLst>
    </cfRule>
    <cfRule type="dataBar" priority="142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{F4AD3867-F158-4822-86CD-A209355E0948}</x14:id>
        </ext>
      </extLst>
    </cfRule>
    <cfRule type="dataBar" priority="142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{884EE96D-6CDF-49E4-957A-3F2F6396EF47}</x14:id>
        </ext>
      </extLst>
    </cfRule>
    <cfRule type="dataBar" priority="142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{D11833E4-C3A8-43E2-A02D-1ABC1573455B}</x14:id>
        </ext>
      </extLst>
    </cfRule>
    <cfRule type="dataBar" priority="142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{3DE4F66F-03F4-4439-874E-5D495DD7542F}</x14:id>
        </ext>
      </extLst>
    </cfRule>
    <cfRule type="dataBar" priority="142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{B0765DCF-BBDB-48CF-9E51-ECC539A7B473}</x14:id>
        </ext>
      </extLst>
    </cfRule>
    <cfRule type="dataBar" priority="142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{1E3A38C3-35FB-4859-BFA6-2C9C587ECC60}</x14:id>
        </ext>
      </extLst>
    </cfRule>
    <cfRule type="dataBar" priority="1425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{28B3764B-4D01-4FA5-AB5D-B03AC54110E3}</x14:id>
        </ext>
      </extLst>
    </cfRule>
    <cfRule type="dataBar" priority="142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{F27018C3-70C0-43B7-AF16-504D367671EE}</x14:id>
        </ext>
      </extLst>
    </cfRule>
    <cfRule type="dataBar" priority="142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{45E8B064-8143-4203-951C-A0B842FC3861}</x14:id>
        </ext>
      </extLst>
    </cfRule>
    <cfRule type="dataBar" priority="142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{41C7FE06-9D09-4CC7-AFFE-1FCE6327646A}</x14:id>
        </ext>
      </extLst>
    </cfRule>
    <cfRule type="dataBar" priority="142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{DB89AAF8-98DE-4CBE-A902-1D3F3DE38B30}</x14:id>
        </ext>
      </extLst>
    </cfRule>
    <cfRule type="dataBar" priority="142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{AC1EFB7E-6AB0-4907-A58D-E6129F0A0822}</x14:id>
        </ext>
      </extLst>
    </cfRule>
    <cfRule type="dataBar" priority="1425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{767246F5-0535-4FFC-8DF3-EE657B8E08E7}</x14:id>
        </ext>
      </extLst>
    </cfRule>
    <cfRule type="dataBar" priority="1425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{6F3C53EB-168D-46C3-91D4-1131271AAB02}</x14:id>
        </ext>
      </extLst>
    </cfRule>
    <cfRule type="dataBar" priority="142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{B0786DC4-D7BE-4CAB-B849-0B45BC5A5CB7}</x14:id>
        </ext>
      </extLst>
    </cfRule>
    <cfRule type="dataBar" priority="142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{D5DE9248-6C10-4048-BF39-30CADF099E2C}</x14:id>
        </ext>
      </extLst>
    </cfRule>
    <cfRule type="dataBar" priority="1425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{EB07154E-F1F9-4130-8ACE-4F4D46E85386}</x14:id>
        </ext>
      </extLst>
    </cfRule>
    <cfRule type="dataBar" priority="1425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{96970108-295F-4E4B-B6BA-ED1CC7187EF3}</x14:id>
        </ext>
      </extLst>
    </cfRule>
    <cfRule type="dataBar" priority="142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{DB83D834-33A9-4511-91F8-3BC78EF9E0C2}</x14:id>
        </ext>
      </extLst>
    </cfRule>
    <cfRule type="dataBar" priority="142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{1505FA08-FF51-4974-8427-CC0C205D567C}</x14:id>
        </ext>
      </extLst>
    </cfRule>
    <cfRule type="dataBar" priority="142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{AF32C1BB-4FA8-4DFF-B6AC-2B7EC07E9DF0}</x14:id>
        </ext>
      </extLst>
    </cfRule>
    <cfRule type="dataBar" priority="142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{DD01A62D-171D-428A-B4FC-ECAB84AE810F}</x14:id>
        </ext>
      </extLst>
    </cfRule>
  </conditionalFormatting>
  <conditionalFormatting sqref="U178:U408 U7">
    <cfRule type="dataBar" priority="98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{CF45EEC1-4600-4557-AE6F-4053E05A92D7}</x14:id>
        </ext>
      </extLst>
    </cfRule>
  </conditionalFormatting>
  <pageMargins left="0.7" right="0.7" top="0.75" bottom="0.75" header="0.3" footer="0.3"/>
  <pageSetup paperSize="9"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ECE8E-B6BA-445D-9F43-78956C407E0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01A0D1-063A-4D4C-B0AE-2881E1CF3D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S6</xm:sqref>
        </x14:conditionalFormatting>
        <x14:conditionalFormatting xmlns:xm="http://schemas.microsoft.com/office/excel/2006/main">
          <x14:cfRule type="dataBar" id="{FDFEADCB-D08C-4F7D-A7DE-DB1EEFBDBD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76DC55E-E7B9-43ED-9E1B-529D92D740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T6:T7</xm:sqref>
        </x14:conditionalFormatting>
        <x14:conditionalFormatting xmlns:xm="http://schemas.microsoft.com/office/excel/2006/main">
          <x14:cfRule type="dataBar" id="{68940453-284F-4EA6-AEE7-EEB88900D67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85DAECB-F602-4271-A095-2C739AA134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9C925CE-34FD-41A0-8B21-A008CDBF6D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81551B-7CB9-47A6-BFE6-0576074F5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</xm:sqref>
        </x14:conditionalFormatting>
        <x14:conditionalFormatting xmlns:xm="http://schemas.microsoft.com/office/excel/2006/main">
          <x14:cfRule type="dataBar" id="{47BD3D49-7FDB-42ED-AC68-9DF6755B5C4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74C411D-D5FF-44DC-B47B-3C29F4F26C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T7:T177</xm:sqref>
        </x14:conditionalFormatting>
        <x14:conditionalFormatting xmlns:xm="http://schemas.microsoft.com/office/excel/2006/main">
          <x14:cfRule type="dataBar" id="{F6E1A222-7F77-468F-AEF8-40478309C50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A72F2EF-CCED-422A-A29C-84558725A7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855854-A6AA-47FB-AF86-6FE30C3926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21959D-C3FA-4B19-BB1A-B0C97AFFD63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F5EC40-16C1-44D6-9A4C-675E012BF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C74A59-24EA-4EB0-9CE7-E60DAF896FE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215D74-2897-4621-B64D-E72D9E1F6C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5266B3F-2E04-4E85-8702-DCBC8293A64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F7F8AE-FCC1-4544-B617-04C0216DA3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FB50B-079C-4131-8F03-FACC7AE6E50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6961F-6839-45AA-8D03-087889F874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42B9D4B-0B3A-4CC0-9700-A6DAF46387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28ABE3-2CB2-4AD2-8650-F7D390343E1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228B91-78A4-4E04-B882-2551E0C8A8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D0A326-30F9-446F-AE00-82971413CA9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3A671BB-A84B-4489-A619-35E9B2E98F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63E79A-8AFA-4F4C-B2EF-A467EBD443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E2A0E7-9453-4D9D-9FCC-10D94100BD9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0E31E9-7FE9-4B54-946D-1E2CEDA900A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6E5E27D-5F1E-41DC-B102-4E4540FD91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055B31-56AA-4795-9C88-C66315178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C4E4F1-3184-419F-9D19-477793A4D6D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84717-E6B7-47D0-A902-C93C91840D3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3383EE-8EA8-4527-A036-3F2F2E6D14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3964D58-22C3-44C4-A97D-DB0A648897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921D7C-9493-4C16-AA5C-C1F84612A8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57183D-4890-462B-A07C-4B834F64DD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543752-715C-44F3-9884-2380435CFD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7B4B5E-EDE8-4291-B610-DEA3D34CB4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45E2B-2F15-42D8-BFCC-8EF56480A9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42D415-B4A0-4099-AD49-906FB7548ED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52B21C1-9BE9-4DC7-B436-7931733A31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959977-6421-46CC-9B8F-B90B00A1F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1E2709-6D00-4F4F-966F-1ACA875DD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E3A660-D1C2-4CA1-85D7-5563E47488D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5727A7-3E7A-4330-A0E3-6FB52270E4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87CF605-4247-44AF-BE6A-C00DFBC535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60E8A81-AF6D-4A91-8848-23DE56F614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5F38C8B-7631-4FCD-9A11-698D69BC01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E6D6B4-A9BE-4444-9EDF-3AED235043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78061-9A31-4DE9-B951-F1276B6819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734FB6-AA5B-4D28-8B59-72504C845EB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B14BBC-CA10-42F0-B0B6-FF32FB48076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E1898EF-30EF-453C-83BE-193C09B3E5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7B9D2E-D507-4281-8027-CABD185F6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E238D0-D10E-41C9-9E71-F9EB9DDA4E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4398AD1-D32E-4B62-946A-DB671B5945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3A0227-3D9D-47F7-9CA8-660F30EA5A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A06EF4-C716-4840-B2E0-17EEB37E3B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1AC185-4904-42CA-A812-381E10699F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1741FC-339B-4B75-A7D3-63BEA1EFE7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D96F7E-E8B1-4E10-8E3E-A35FDB853C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1693A53-3AA8-4FBC-99AB-E7A70747E5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37C7CE-396F-401C-804C-EA7AE74511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FD00F97-EA92-4BFE-BFA6-7DD766C305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E7EFE3-EAAF-4DEF-9420-5DB20D2E334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ACD2FE-AE37-48E1-B1C4-D4FA76707D8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8DEA91-EE98-4D22-85C1-264C7AAF2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809D10-611F-415B-B2AB-2A9024FB0B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322F19-3C14-4556-9E53-CDA85A51E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98AD76-3627-46BE-BC15-00831BA5E6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94DA3D-9208-456B-9528-A516ACB87E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6BE6FFE-B3B5-4086-A78B-A949D302A9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466FD-4306-46C5-BB1E-223657274F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4BB789B-92A9-4C91-8063-568A8D2D293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BDADB1-9329-4ECC-B05F-A008549F79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F87E5F-5B36-412F-8421-068275F92B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377826D-4FCF-41F7-85D9-434A3C9EF0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9E8A071-AA77-4CCE-8107-661BC61A12C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10D38-75EB-4D57-8E5A-B910C87698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AE3A88-F341-4288-B696-D2582C7A93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4A75B32-8E09-4243-BF0B-2FD731F0B6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3C7ADA6-2AC2-4F56-B475-CA74F6B440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2AC642F-C085-4193-942E-01C6EC35A4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74895A-B567-4038-9718-EFE79B45EB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AE4719D-871B-4969-BB37-DFA5A793547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EF0BDB-80AD-40E4-8F09-6AE9F498CF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9ABBF3-5D8D-45F7-AABF-62DCA7D059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5B5AECE-B1B9-4C82-B884-B850B8DE8A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05CA3-0279-4CC4-986B-71604E5DDF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C758EF0-BD76-4DF2-8735-69E7BE9ECE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6CFBF2-EACF-4CBE-AADF-BB308EEBF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E7B336-652E-4F53-99AD-82A1A0292D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031B55-B427-4B4C-81FE-C52E2C1A5F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ECDA031-FF4A-486F-A358-E04FDADF2C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A9F25B-9749-4343-979C-EE0B380B59B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43317CE-0A74-4FB0-9E51-97DC73FECE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9E55D-DACE-4B58-BF61-C8CE2F9F14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DE386C8-5B26-427C-BFC3-CC3D5307D6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D779C3-6D8A-47E4-B86E-A0DA787CDC0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D225A0-29D9-41BD-B439-F2E3161063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C878AFC-E602-4395-91E7-059480C854E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BC0EAD-9AD0-4F80-8E60-ADC71F2CB84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4C6004A-C25C-4370-BE5C-D323BA9BF77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A3C4B2-9E3B-43E8-941D-5C892EB17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5D8BF-12BA-4560-AB2B-EA8A0515C6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3017C7-7A42-4409-87CD-05A2387234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BA2664-A867-4427-94AC-71D89C1D641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D749604-7A20-45E0-84A1-21BD730EC0F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348DE4-492D-4478-827E-F8E04C2610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B17131-F60F-47CF-8A56-0BE865F2D69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51D2FF-C233-403F-9D04-77EA7A0BDB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C1B212-AE7E-4426-B48A-6C992BA5B8A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A61F24D-DD6E-488B-88F7-CAFE4C0C6C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969F20-D77C-452B-8127-61D1BB3A37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D7FA4B-CD11-4F37-A03B-F7997FECE6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048912E-E87E-452D-97F9-33EA7AC898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4000B19-04C5-44B3-88DC-F9FDB81BF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A76C5D-3864-4507-AB3F-B1137F31D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7FC9FC-F09B-4B0B-84EB-5B3AAF2D975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8C94B96-8809-45D8-8DAE-2392EC1D9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249999-A079-47C1-BABB-C3482712D28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T8:T177</xm:sqref>
        </x14:conditionalFormatting>
        <x14:conditionalFormatting xmlns:xm="http://schemas.microsoft.com/office/excel/2006/main">
          <x14:cfRule type="dataBar" id="{36FEB0BE-12CD-47B0-8735-431BF594C8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T178 T7</xm:sqref>
        </x14:conditionalFormatting>
        <x14:conditionalFormatting xmlns:xm="http://schemas.microsoft.com/office/excel/2006/main">
          <x14:cfRule type="dataBar" id="{3A884DDA-74B4-4871-90D0-09372492E4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T178:T408</xm:sqref>
        </x14:conditionalFormatting>
        <x14:conditionalFormatting xmlns:xm="http://schemas.microsoft.com/office/excel/2006/main">
          <x14:cfRule type="dataBar" id="{07309EA3-92B5-4D67-BBCF-E9C4DEF1E6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237EDE-132A-4085-8F74-FC5C4B63C9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4AD3867-F158-4822-86CD-A209355E09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84EE96D-6CDF-49E4-957A-3F2F6396E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11833E4-C3A8-43E2-A02D-1ABC157345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DE4F66F-03F4-4439-874E-5D495DD75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65DCF-BBDB-48CF-9E51-ECC539A7B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E3A38C3-35FB-4859-BFA6-2C9C587ECC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8B3764B-4D01-4FA5-AB5D-B03AC54110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27018C3-70C0-43B7-AF16-504D367671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5E8B064-8143-4203-951C-A0B842FC3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1C7FE06-9D09-4CC7-AFFE-1FCE632764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9AAF8-98DE-4CBE-A902-1D3F3DE38B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C1EFB7E-6AB0-4907-A58D-E6129F0A08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67246F5-0535-4FFC-8DF3-EE657B8E08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F3C53EB-168D-46C3-91D4-1131271AAB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86DC4-D7BE-4CAB-B849-0B45BC5A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5DE9248-6C10-4048-BF39-30CADF099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B07154E-F1F9-4130-8ACE-4F4D46E853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6970108-295F-4E4B-B6BA-ED1CC7187E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3D834-33A9-4511-91F8-3BC78EF9E0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505FA08-FF51-4974-8427-CC0C205D56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F32C1BB-4FA8-4DFF-B6AC-2B7EC07E9D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D01A62D-171D-428A-B4FC-ECAB84AE8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U8:U177</xm:sqref>
        </x14:conditionalFormatting>
        <x14:conditionalFormatting xmlns:xm="http://schemas.microsoft.com/office/excel/2006/main">
          <x14:cfRule type="dataBar" id="{CF45EEC1-4600-4557-AE6F-4053E05A9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U178:U408 U7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B1:O30"/>
  <sheetViews>
    <sheetView topLeftCell="B1" zoomScaleNormal="100" workbookViewId="0">
      <selection activeCell="E26" sqref="E26"/>
    </sheetView>
  </sheetViews>
  <sheetFormatPr defaultColWidth="8.875" defaultRowHeight="16.5" x14ac:dyDescent="0.25"/>
  <cols>
    <col min="3" max="3" width="23.625" customWidth="1"/>
    <col min="4" max="4" width="20.5" customWidth="1"/>
    <col min="5" max="5" width="22" customWidth="1"/>
    <col min="6" max="6" width="17" customWidth="1"/>
    <col min="7" max="7" width="16.5" customWidth="1"/>
    <col min="8" max="9" width="17" customWidth="1"/>
    <col min="10" max="10" width="14.875" customWidth="1"/>
    <col min="11" max="11" width="19" customWidth="1"/>
    <col min="12" max="14" width="19" hidden="1" customWidth="1"/>
    <col min="15" max="15" width="19.25" customWidth="1"/>
  </cols>
  <sheetData>
    <row r="1" spans="3:15" ht="17.25" thickBot="1" x14ac:dyDescent="0.3"/>
    <row r="2" spans="3:15" ht="33.75" customHeight="1" x14ac:dyDescent="0.25">
      <c r="C2" s="14" t="s">
        <v>22</v>
      </c>
      <c r="D2" s="15" t="s">
        <v>50</v>
      </c>
      <c r="E2" s="15" t="s">
        <v>51</v>
      </c>
      <c r="F2" s="15" t="s">
        <v>23</v>
      </c>
      <c r="G2" s="15" t="s">
        <v>24</v>
      </c>
      <c r="H2" s="15" t="s">
        <v>25</v>
      </c>
      <c r="I2" s="15" t="s">
        <v>26</v>
      </c>
      <c r="J2" s="15" t="s">
        <v>27</v>
      </c>
      <c r="K2" s="15" t="s">
        <v>28</v>
      </c>
      <c r="L2" s="15" t="s">
        <v>56</v>
      </c>
      <c r="M2" s="15" t="s">
        <v>55</v>
      </c>
      <c r="N2" s="15" t="s">
        <v>54</v>
      </c>
      <c r="O2" s="16" t="s">
        <v>29</v>
      </c>
    </row>
    <row r="3" spans="3:15" x14ac:dyDescent="0.25">
      <c r="C3" s="124" t="s">
        <v>86</v>
      </c>
      <c r="D3" s="125">
        <f>帳戶!F4</f>
        <v>9447100</v>
      </c>
      <c r="E3" s="69">
        <f>D3/$D$20</f>
        <v>0.37779659298024809</v>
      </c>
      <c r="F3" s="125">
        <f>帳戶!E4</f>
        <v>0</v>
      </c>
      <c r="G3" s="125">
        <v>9447100</v>
      </c>
      <c r="H3" s="94">
        <f t="shared" ref="H3:H4" si="0">D3-G3</f>
        <v>0</v>
      </c>
      <c r="I3" s="92">
        <v>0</v>
      </c>
      <c r="J3" s="21">
        <f t="shared" ref="J3:J4" si="1">IFERROR(H3/G3,"n/a")</f>
        <v>0</v>
      </c>
      <c r="K3" s="29" t="s">
        <v>84</v>
      </c>
      <c r="L3" s="130"/>
      <c r="M3" s="130"/>
      <c r="N3" s="131"/>
      <c r="O3" s="98">
        <f t="shared" ref="O3" si="2">D3*0.1</f>
        <v>944710</v>
      </c>
    </row>
    <row r="4" spans="3:15" x14ac:dyDescent="0.25">
      <c r="C4" s="124" t="s">
        <v>89</v>
      </c>
      <c r="D4" s="125">
        <f>帳戶!F5</f>
        <v>8621900</v>
      </c>
      <c r="E4" s="69">
        <f>D4/$D$20</f>
        <v>0.34479622794470272</v>
      </c>
      <c r="F4" s="125">
        <f>帳戶!E5</f>
        <v>4475000</v>
      </c>
      <c r="G4" s="125">
        <v>8780100</v>
      </c>
      <c r="H4" s="94">
        <f t="shared" si="0"/>
        <v>-158200</v>
      </c>
      <c r="I4" s="92">
        <v>4475000</v>
      </c>
      <c r="J4" s="21">
        <f t="shared" si="1"/>
        <v>-1.8018018018018018E-2</v>
      </c>
      <c r="K4" s="29" t="s">
        <v>91</v>
      </c>
      <c r="L4" s="130"/>
      <c r="M4" s="130"/>
      <c r="N4" s="131"/>
      <c r="O4" s="98">
        <f t="shared" ref="O4" si="3">D4*0.1</f>
        <v>862190</v>
      </c>
    </row>
    <row r="5" spans="3:15" x14ac:dyDescent="0.25">
      <c r="C5" s="124" t="s">
        <v>90</v>
      </c>
      <c r="D5" s="125">
        <f>帳戶!F12</f>
        <v>5642000</v>
      </c>
      <c r="E5" s="69">
        <f>D5/$D$20</f>
        <v>0.22562779875248062</v>
      </c>
      <c r="F5" s="125">
        <f>帳戶!E12</f>
        <v>2897000</v>
      </c>
      <c r="G5" s="125">
        <v>5661500</v>
      </c>
      <c r="H5" s="94">
        <f>D5-G5</f>
        <v>-19500</v>
      </c>
      <c r="I5" s="92">
        <v>2897000</v>
      </c>
      <c r="J5" s="21">
        <f>IFERROR(H5/G5,"n/a")</f>
        <v>-3.4443168771526979E-3</v>
      </c>
      <c r="K5" s="29" t="s">
        <v>91</v>
      </c>
      <c r="L5" s="130"/>
      <c r="M5" s="130"/>
      <c r="N5" s="131"/>
      <c r="O5" s="98">
        <f>D5*0.1</f>
        <v>564200</v>
      </c>
    </row>
    <row r="6" spans="3:15" x14ac:dyDescent="0.25">
      <c r="C6" s="124" t="s">
        <v>96</v>
      </c>
      <c r="D6" s="125">
        <f>帳戶!F6</f>
        <v>4832000</v>
      </c>
      <c r="E6" s="69">
        <f>D6/$D$20</f>
        <v>0.19323529308259241</v>
      </c>
      <c r="F6" s="125">
        <f>帳戶!E6</f>
        <v>2899000</v>
      </c>
      <c r="G6" s="125">
        <v>4928000</v>
      </c>
      <c r="H6" s="94">
        <f>D6-G6</f>
        <v>-96000</v>
      </c>
      <c r="I6" s="92">
        <v>2899000</v>
      </c>
      <c r="J6" s="21">
        <f>IFERROR(H6/G6,"n/a")</f>
        <v>-1.948051948051948E-2</v>
      </c>
      <c r="K6" s="29" t="s">
        <v>95</v>
      </c>
      <c r="L6" s="130"/>
      <c r="M6" s="130"/>
      <c r="N6" s="131"/>
      <c r="O6" s="98">
        <f>D6*0.1</f>
        <v>483200</v>
      </c>
    </row>
    <row r="7" spans="3:15" x14ac:dyDescent="0.25">
      <c r="C7" s="124" t="s">
        <v>93</v>
      </c>
      <c r="D7" s="125">
        <f>帳戶!F11</f>
        <v>2890720</v>
      </c>
      <c r="E7" s="69">
        <f>D7/$D$20</f>
        <v>0.11560205430871513</v>
      </c>
      <c r="F7" s="125">
        <f>帳戶!E11</f>
        <v>0</v>
      </c>
      <c r="G7" s="125">
        <v>2834650</v>
      </c>
      <c r="H7" s="94">
        <f t="shared" ref="H7" si="4">D7-G7</f>
        <v>56070</v>
      </c>
      <c r="I7" s="92">
        <v>0</v>
      </c>
      <c r="J7" s="21">
        <f t="shared" ref="J7" si="5">IFERROR(H7/G7,"n/a")</f>
        <v>1.9780219780219779E-2</v>
      </c>
      <c r="K7" s="29" t="s">
        <v>91</v>
      </c>
      <c r="L7" s="130"/>
      <c r="M7" s="130"/>
      <c r="N7" s="131"/>
      <c r="O7" s="98">
        <f>D7*0.1</f>
        <v>289072</v>
      </c>
    </row>
    <row r="8" spans="3:15" x14ac:dyDescent="0.25">
      <c r="C8" s="124" t="s">
        <v>103</v>
      </c>
      <c r="D8" s="125">
        <f>帳戶!F10</f>
        <v>2650600</v>
      </c>
      <c r="E8" s="69">
        <f>D8/$D$20</f>
        <v>0.10599947596124161</v>
      </c>
      <c r="F8" s="125">
        <f>帳戶!E10</f>
        <v>1602000</v>
      </c>
      <c r="G8" s="125">
        <v>2691200</v>
      </c>
      <c r="H8" s="94">
        <f>D8-G8</f>
        <v>-40600</v>
      </c>
      <c r="I8" s="92">
        <v>1602000</v>
      </c>
      <c r="J8" s="21">
        <f>IFERROR(H8/G8,"n/a")</f>
        <v>-1.5086206896551725E-2</v>
      </c>
      <c r="K8" s="29" t="s">
        <v>95</v>
      </c>
      <c r="L8" s="130"/>
      <c r="M8" s="130"/>
      <c r="N8" s="131"/>
      <c r="O8" s="98">
        <f>D8*0.1</f>
        <v>265060</v>
      </c>
    </row>
    <row r="9" spans="3:15" x14ac:dyDescent="0.25">
      <c r="C9" s="124" t="s">
        <v>102</v>
      </c>
      <c r="D9" s="125">
        <f>帳戶!F9</f>
        <v>2586800</v>
      </c>
      <c r="E9" s="69">
        <f>D9/$D$20</f>
        <v>0.10344806625539116</v>
      </c>
      <c r="F9" s="125">
        <f>帳戶!E9</f>
        <v>1530000</v>
      </c>
      <c r="G9" s="125">
        <v>2601300</v>
      </c>
      <c r="H9" s="94">
        <f>D9-G9</f>
        <v>-14500</v>
      </c>
      <c r="I9" s="92">
        <v>1530000</v>
      </c>
      <c r="J9" s="21">
        <f>IFERROR(H9/G9,"n/a")</f>
        <v>-5.5741360089186179E-3</v>
      </c>
      <c r="K9" s="29" t="s">
        <v>95</v>
      </c>
      <c r="L9" s="130"/>
      <c r="M9" s="130"/>
      <c r="N9" s="131"/>
      <c r="O9" s="98">
        <f>D9*0.1</f>
        <v>258680</v>
      </c>
    </row>
    <row r="10" spans="3:15" x14ac:dyDescent="0.25">
      <c r="C10" s="124" t="s">
        <v>99</v>
      </c>
      <c r="D10" s="125">
        <f>帳戶!F7</f>
        <v>1323135</v>
      </c>
      <c r="E10" s="69">
        <f>D10/$D$20</f>
        <v>5.2913158011762398E-2</v>
      </c>
      <c r="F10" s="125">
        <v>0</v>
      </c>
      <c r="G10" s="125">
        <v>1765858</v>
      </c>
      <c r="H10" s="94">
        <f>D10-G10</f>
        <v>-442723</v>
      </c>
      <c r="I10" s="92">
        <v>0</v>
      </c>
      <c r="J10" s="21">
        <f>IFERROR(H10/G10,"n/a")</f>
        <v>-0.25071268471190777</v>
      </c>
      <c r="K10" s="29" t="s">
        <v>97</v>
      </c>
      <c r="L10" s="130"/>
      <c r="M10" s="130"/>
      <c r="N10" s="131"/>
      <c r="O10" s="98">
        <f t="shared" ref="O10" si="6">D10*0.1</f>
        <v>132313.5</v>
      </c>
    </row>
    <row r="11" spans="3:15" x14ac:dyDescent="0.25">
      <c r="C11" s="124" t="s">
        <v>105</v>
      </c>
      <c r="D11" s="125">
        <f>帳戶!F8</f>
        <v>987000</v>
      </c>
      <c r="E11" s="69">
        <f>D11/$D$20</f>
        <v>3.9470868019974896E-2</v>
      </c>
      <c r="F11" s="125">
        <f>帳戶!E8</f>
        <v>573000</v>
      </c>
      <c r="G11" s="125">
        <v>0</v>
      </c>
      <c r="H11" s="94">
        <f>D11-G11</f>
        <v>987000</v>
      </c>
      <c r="I11" s="92">
        <v>0</v>
      </c>
      <c r="J11" s="21" t="str">
        <f>IFERROR(H11/G11,"n/a")</f>
        <v>n/a</v>
      </c>
      <c r="K11" s="29" t="s">
        <v>95</v>
      </c>
      <c r="L11" s="130"/>
      <c r="M11" s="130"/>
      <c r="N11" s="131"/>
      <c r="O11" s="98">
        <f>D11*0.1</f>
        <v>98700</v>
      </c>
    </row>
    <row r="12" spans="3:15" ht="17.25" thickBot="1" x14ac:dyDescent="0.3">
      <c r="C12" s="18" t="s">
        <v>30</v>
      </c>
      <c r="D12" s="90">
        <f>SUM(D3:D11)</f>
        <v>38981255</v>
      </c>
      <c r="E12" s="118">
        <f>D12/$D$20</f>
        <v>1.5588895353171091</v>
      </c>
      <c r="F12" s="90">
        <f>SUM(F3:F11)</f>
        <v>13976000</v>
      </c>
      <c r="G12" s="90">
        <f>SUM(G3:G11)</f>
        <v>38709708</v>
      </c>
      <c r="H12" s="90">
        <f>SUM(H3:H11)</f>
        <v>271547</v>
      </c>
      <c r="I12" s="90">
        <f>SUM(I3:I11)</f>
        <v>13403000</v>
      </c>
      <c r="J12" s="86">
        <f t="shared" ref="J12:J14" si="7">IFERROR(H12/G12,"n/a")</f>
        <v>7.0149586248493528E-3</v>
      </c>
      <c r="K12" s="86"/>
      <c r="L12" s="86"/>
      <c r="M12" s="86"/>
      <c r="N12" s="86"/>
      <c r="O12" s="126">
        <f>SUM(O3:O11)</f>
        <v>3898125.5</v>
      </c>
    </row>
    <row r="13" spans="3:15" ht="16.5" customHeight="1" x14ac:dyDescent="0.25">
      <c r="C13" s="87"/>
      <c r="D13" s="104">
        <v>0</v>
      </c>
      <c r="E13" s="106">
        <f>D13/$D$20</f>
        <v>0</v>
      </c>
      <c r="F13" s="88">
        <v>0</v>
      </c>
      <c r="G13" s="104">
        <v>0</v>
      </c>
      <c r="H13" s="96">
        <f>D13-G13</f>
        <v>0</v>
      </c>
      <c r="I13" s="88">
        <v>0</v>
      </c>
      <c r="J13" s="89" t="str">
        <f t="shared" si="7"/>
        <v>n/a</v>
      </c>
      <c r="K13" s="107"/>
      <c r="L13" s="107"/>
      <c r="M13" s="107"/>
      <c r="N13" s="107"/>
      <c r="O13" s="100">
        <f>D13*0.1</f>
        <v>0</v>
      </c>
    </row>
    <row r="14" spans="3:15" ht="17.25" thickBot="1" x14ac:dyDescent="0.3">
      <c r="C14" s="18" t="s">
        <v>30</v>
      </c>
      <c r="D14" s="90">
        <f>SUM(D13:D13)</f>
        <v>0</v>
      </c>
      <c r="E14" s="90"/>
      <c r="F14" s="20"/>
      <c r="G14" s="90">
        <f>SUM(G13:G13)</f>
        <v>0</v>
      </c>
      <c r="H14" s="95">
        <f>D14-G14</f>
        <v>0</v>
      </c>
      <c r="I14" s="19"/>
      <c r="J14" s="86" t="str">
        <f t="shared" si="7"/>
        <v>n/a</v>
      </c>
      <c r="K14" s="86"/>
      <c r="L14" s="86"/>
      <c r="M14" s="86"/>
      <c r="N14" s="86"/>
      <c r="O14" s="99">
        <f>SUM(0)</f>
        <v>0</v>
      </c>
    </row>
    <row r="15" spans="3:15" x14ac:dyDescent="0.25">
      <c r="C15" s="108" t="s">
        <v>31</v>
      </c>
      <c r="D15" s="109">
        <f ca="1">D15-帳戶!F15</f>
        <v>0</v>
      </c>
      <c r="E15" s="109"/>
      <c r="F15" s="110"/>
      <c r="G15" s="109">
        <v>0</v>
      </c>
      <c r="H15" s="111"/>
      <c r="I15" s="109"/>
      <c r="J15" s="110"/>
      <c r="K15" s="110"/>
      <c r="L15" s="110"/>
      <c r="M15" s="110"/>
      <c r="N15" s="110"/>
      <c r="O15" s="112"/>
    </row>
    <row r="16" spans="3:15" x14ac:dyDescent="0.25">
      <c r="C16" s="71" t="s">
        <v>32</v>
      </c>
      <c r="D16" s="91">
        <f>帳戶!C21</f>
        <v>529</v>
      </c>
      <c r="E16" s="69">
        <f>D16/$D$20</f>
        <v>2.1155105554778846E-5</v>
      </c>
      <c r="F16" s="69"/>
      <c r="G16" s="91">
        <v>503</v>
      </c>
      <c r="H16" s="94">
        <f>D16-G16</f>
        <v>26</v>
      </c>
      <c r="I16" s="22"/>
      <c r="J16" s="70">
        <f>H16/G16</f>
        <v>5.168986083499006E-2</v>
      </c>
      <c r="K16" s="29" t="s">
        <v>32</v>
      </c>
      <c r="L16" s="29"/>
      <c r="M16" s="29"/>
      <c r="N16" s="29"/>
      <c r="O16" s="98"/>
    </row>
    <row r="17" spans="2:15" x14ac:dyDescent="0.25">
      <c r="C17" s="71" t="s">
        <v>68</v>
      </c>
      <c r="D17" s="91">
        <f>期貨!C4</f>
        <v>0</v>
      </c>
      <c r="E17" s="69">
        <f>D17/$D$20</f>
        <v>0</v>
      </c>
      <c r="F17" s="69"/>
      <c r="G17" s="91">
        <v>0</v>
      </c>
      <c r="H17" s="94">
        <f>D17-G17</f>
        <v>0</v>
      </c>
      <c r="I17" s="22"/>
      <c r="J17" s="70" t="e">
        <f>H17/G17</f>
        <v>#DIV/0!</v>
      </c>
      <c r="K17" s="29"/>
      <c r="L17" s="29"/>
      <c r="M17" s="29"/>
      <c r="N17" s="29"/>
      <c r="O17" s="98"/>
    </row>
    <row r="18" spans="2:15" x14ac:dyDescent="0.25">
      <c r="C18" s="71" t="s">
        <v>52</v>
      </c>
      <c r="D18" s="91">
        <f>帳戶!C22</f>
        <v>0</v>
      </c>
      <c r="E18" s="69">
        <f>D18/$D$20</f>
        <v>0</v>
      </c>
      <c r="F18" s="69"/>
      <c r="G18" s="91">
        <v>0</v>
      </c>
      <c r="H18" s="94">
        <f>D18-G18</f>
        <v>0</v>
      </c>
      <c r="I18" s="22"/>
      <c r="J18" s="70" t="e">
        <f>H18/G18</f>
        <v>#DIV/0!</v>
      </c>
      <c r="K18" s="29" t="s">
        <v>34</v>
      </c>
      <c r="L18" s="29"/>
      <c r="M18" s="29"/>
      <c r="N18" s="29"/>
      <c r="O18" s="98"/>
    </row>
    <row r="19" spans="2:15" ht="17.25" thickBot="1" x14ac:dyDescent="0.3">
      <c r="C19" s="113" t="s">
        <v>31</v>
      </c>
      <c r="D19" s="114">
        <f>D12+D16-F12-帳戶!F24+D18</f>
        <v>0</v>
      </c>
      <c r="E19" s="114"/>
      <c r="F19" s="115"/>
      <c r="G19" s="114">
        <v>0</v>
      </c>
      <c r="H19" s="116"/>
      <c r="I19" s="114"/>
      <c r="J19" s="115"/>
      <c r="K19" s="115"/>
      <c r="L19" s="115"/>
      <c r="M19" s="115"/>
      <c r="N19" s="115"/>
      <c r="O19" s="117"/>
    </row>
    <row r="20" spans="2:15" ht="17.25" thickBot="1" x14ac:dyDescent="0.3">
      <c r="C20" s="18" t="s">
        <v>30</v>
      </c>
      <c r="D20" s="90">
        <f>D12+D16-F12+D18+D17</f>
        <v>25005784</v>
      </c>
      <c r="E20" s="118">
        <f>D20/$D$20</f>
        <v>1</v>
      </c>
      <c r="F20" s="20"/>
      <c r="G20" s="90">
        <f>G12+G16-I12+G18+G17</f>
        <v>25307211</v>
      </c>
      <c r="H20" s="95">
        <f t="shared" ref="H20" si="8">D20-G20</f>
        <v>-301427</v>
      </c>
      <c r="I20" s="19"/>
      <c r="J20" s="20">
        <f>H20/G20</f>
        <v>-1.1910715882520599E-2</v>
      </c>
      <c r="K20" s="20"/>
      <c r="L20" s="20"/>
      <c r="M20" s="20"/>
      <c r="N20" s="20"/>
      <c r="O20" s="99"/>
    </row>
    <row r="21" spans="2:15" x14ac:dyDescent="0.25">
      <c r="C21" s="119" t="s">
        <v>35</v>
      </c>
      <c r="D21" s="120">
        <v>25307211</v>
      </c>
      <c r="E21" s="23"/>
      <c r="G21" s="23"/>
      <c r="I21" s="26"/>
      <c r="O21" s="97"/>
    </row>
    <row r="22" spans="2:15" ht="18.75" customHeight="1" x14ac:dyDescent="0.25">
      <c r="C22" s="11" t="s">
        <v>36</v>
      </c>
      <c r="D22" s="93">
        <f>D20-D21</f>
        <v>-301427</v>
      </c>
      <c r="E22" s="105"/>
      <c r="F22" s="24"/>
      <c r="G22" s="23"/>
      <c r="H22" s="23"/>
      <c r="K22" s="24"/>
      <c r="L22" s="24"/>
      <c r="M22" s="24"/>
      <c r="N22" s="24"/>
      <c r="O22" s="97"/>
    </row>
    <row r="23" spans="2:15" ht="17.25" thickBot="1" x14ac:dyDescent="0.3">
      <c r="C23" s="12" t="s">
        <v>37</v>
      </c>
      <c r="D23" s="13">
        <f>D22/D21</f>
        <v>-1.1910715882520599E-2</v>
      </c>
      <c r="E23" s="23"/>
      <c r="F23" s="24"/>
      <c r="G23" s="23"/>
      <c r="H23" s="24"/>
      <c r="O23" s="97"/>
    </row>
    <row r="24" spans="2:15" x14ac:dyDescent="0.25">
      <c r="D24" s="31"/>
      <c r="E24" s="31"/>
      <c r="F24" s="30"/>
      <c r="G24" s="81"/>
      <c r="H24" s="81"/>
      <c r="I24" s="17"/>
      <c r="J24" s="17"/>
      <c r="K24" s="17"/>
      <c r="L24" s="17"/>
      <c r="M24" s="17"/>
      <c r="N24" s="17"/>
    </row>
    <row r="25" spans="2:15" x14ac:dyDescent="0.25">
      <c r="D25" s="25"/>
      <c r="E25" s="25"/>
    </row>
    <row r="27" spans="2:15" ht="17.25" customHeight="1" x14ac:dyDescent="0.25"/>
    <row r="29" spans="2:15" x14ac:dyDescent="0.25">
      <c r="G29" t="s">
        <v>21</v>
      </c>
    </row>
    <row r="30" spans="2:15" x14ac:dyDescent="0.25">
      <c r="B30" t="s">
        <v>53</v>
      </c>
    </row>
  </sheetData>
  <phoneticPr fontId="1" type="noConversion"/>
  <conditionalFormatting sqref="D2">
    <cfRule type="dataBar" priority="119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{FE3E4B78-67F4-4CBF-BC6D-E124FD5FA42C}</x14:id>
        </ext>
      </extLst>
    </cfRule>
    <cfRule type="dataBar" priority="119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{92520854-183F-4AB2-8A71-20CB9B30E892}</x14:id>
        </ext>
      </extLst>
    </cfRule>
    <cfRule type="dataBar" priority="119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{28DEE55A-A80B-49DA-80D5-0D41152150BC}</x14:id>
        </ext>
      </extLst>
    </cfRule>
  </conditionalFormatting>
  <conditionalFormatting sqref="E2">
    <cfRule type="dataBar" priority="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{58E4D0FD-DD5E-4A35-924D-A8B34F1E3822}</x14:id>
        </ext>
      </extLst>
    </cfRule>
    <cfRule type="dataBar" priority="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{E5689E6F-A951-4FA5-B408-7B320C79CE9F}</x14:id>
        </ext>
      </extLst>
    </cfRule>
    <cfRule type="dataBar" priority="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{3CB70FD9-70F5-4294-BB00-94B97B1028C9}</x14:id>
        </ext>
      </extLst>
    </cfRule>
  </conditionalFormatting>
  <conditionalFormatting sqref="E15">
    <cfRule type="dataBar" priority="3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{ECB57AB0-2114-4B7B-B0C8-8F5EA303426F}</x14:id>
        </ext>
      </extLst>
    </cfRule>
    <cfRule type="dataBar" priority="3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{4D29A4DA-60FC-435D-A9CE-BC3762BEA827}</x14:id>
        </ext>
      </extLst>
    </cfRule>
    <cfRule type="dataBar" priority="3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{95F3819E-AAEE-41A1-84C5-F41E26448A60}</x14:id>
        </ext>
      </extLst>
    </cfRule>
    <cfRule type="dataBar" priority="3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{EDC4175B-7164-48CD-951F-8FC20698A76A}</x14:id>
        </ext>
      </extLst>
    </cfRule>
    <cfRule type="dataBar" priority="3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{9509CF30-77A7-43A2-9750-5FC78E38FDC4}</x14:id>
        </ext>
      </extLst>
    </cfRule>
    <cfRule type="dataBar" priority="3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{01188E7B-62A5-4965-809C-15717BEAAB37}</x14:id>
        </ext>
      </extLst>
    </cfRule>
    <cfRule type="dataBar" priority="3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{2B9B6458-19D2-449B-A1E6-251D3F563449}</x14:id>
        </ext>
      </extLst>
    </cfRule>
    <cfRule type="dataBar" priority="3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{D0C4BC0D-3482-47EC-99B8-E5F68D5FBD29}</x14:id>
        </ext>
      </extLst>
    </cfRule>
    <cfRule type="dataBar" priority="3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{49352543-9DB5-4766-8EFD-689910EE2D55}</x14:id>
        </ext>
      </extLst>
    </cfRule>
    <cfRule type="dataBar" priority="3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{EA0261FF-C63E-4F9D-90D8-B33E8964D59B}</x14:id>
        </ext>
      </extLst>
    </cfRule>
    <cfRule type="dataBar" priority="3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{5FD24852-5F12-4681-B6FE-447A46CD6EFE}</x14:id>
        </ext>
      </extLst>
    </cfRule>
    <cfRule type="dataBar" priority="3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{7DD4E064-F1FE-4665-A1A8-7303227631E5}</x14:id>
        </ext>
      </extLst>
    </cfRule>
    <cfRule type="dataBar" priority="3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{D59194F6-65B9-43FC-8F90-315A046E2C5C}</x14:id>
        </ext>
      </extLst>
    </cfRule>
    <cfRule type="dataBar" priority="3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{DC7C1AB4-DE02-4036-98B2-15ACAEDB4BC8}</x14:id>
        </ext>
      </extLst>
    </cfRule>
    <cfRule type="dataBar" priority="3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{74B27E2C-2ABB-439E-AA63-56B2AA655FF3}</x14:id>
        </ext>
      </extLst>
    </cfRule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{A6664DD7-26A5-4787-B04E-33BB9CC68416}</x14:id>
        </ext>
      </extLst>
    </cfRule>
    <cfRule type="dataBar" priority="3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{A870A17B-C1B0-4E10-A52E-E0131570DEE5}</x14:id>
        </ext>
      </extLst>
    </cfRule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{3F29F7B5-C7FE-49DA-BF5A-B18D11FFEC11}</x14:id>
        </ext>
      </extLst>
    </cfRule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{30F97E31-4891-4717-A040-851DFD731B74}</x14:id>
        </ext>
      </extLst>
    </cfRule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{CDA75453-AC43-4D1C-87A9-E6883FF86ABE}</x14:id>
        </ext>
      </extLst>
    </cfRule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{BD0CC28B-23B7-4874-AF2C-CAB39630EC90}</x14:id>
        </ext>
      </extLst>
    </cfRule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{E1909428-66E5-4ACB-A19B-B4FF30262A36}</x14:id>
        </ext>
      </extLst>
    </cfRule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{D48AC8EB-49DB-43CF-A71C-093F06C6A07A}</x14:id>
        </ext>
      </extLst>
    </cfRule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{C59A79BE-2A13-4533-A0DC-A5DCCD21EC16}</x14:id>
        </ext>
      </extLst>
    </cfRule>
    <cfRule type="dataBar" priority="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{5E12DF31-47DF-461F-9E91-248344E99F1B}</x14:id>
        </ext>
      </extLst>
    </cfRule>
  </conditionalFormatting>
  <conditionalFormatting sqref="E16">
    <cfRule type="dataBar" priority="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{87AF51CF-1C25-4840-8156-D1697B639B4E}</x14:id>
        </ext>
      </extLst>
    </cfRule>
    <cfRule type="dataBar" priority="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{67F9D15B-CCE6-4F1D-9686-75AABA034696}</x14:id>
        </ext>
      </extLst>
    </cfRule>
    <cfRule type="dataBar" priority="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{EFCCE5A0-448B-48E4-B5EC-916A86BCE73C}</x14:id>
        </ext>
      </extLst>
    </cfRule>
    <cfRule type="dataBar" priority="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{4D3CAAEB-2839-4D9B-AAB9-8D5AA6D99BBB}</x14:id>
        </ext>
      </extLst>
    </cfRule>
    <cfRule type="dataBar" priority="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{4F2097EA-BA07-49D7-9BE6-BC10FB9560B7}</x14:id>
        </ext>
      </extLst>
    </cfRule>
    <cfRule type="dataBar" priority="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{7DB26AF6-1FFD-4525-A6F9-9766FF6AF431}</x14:id>
        </ext>
      </extLst>
    </cfRule>
    <cfRule type="dataBar" priority="3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{F95E9815-4770-45EC-8D1D-8427E1D07744}</x14:id>
        </ext>
      </extLst>
    </cfRule>
    <cfRule type="dataBar" priority="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{D9C511A3-AAA5-445F-B170-32F545E9C284}</x14:id>
        </ext>
      </extLst>
    </cfRule>
    <cfRule type="dataBar" priority="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{3C56B1A2-0072-4FCD-905D-8289F1790887}</x14:id>
        </ext>
      </extLst>
    </cfRule>
    <cfRule type="dataBar" priority="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{E33178FE-309A-4F5D-B22E-D70E854D10B7}</x14:id>
        </ext>
      </extLst>
    </cfRule>
    <cfRule type="dataBar" priority="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{66304EB1-3E5E-4484-B732-28AD73DF6A46}</x14:id>
        </ext>
      </extLst>
    </cfRule>
    <cfRule type="dataBar" priority="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{067022C6-9D3E-4F3E-B262-B4673AE1E2FF}</x14:id>
        </ext>
      </extLst>
    </cfRule>
    <cfRule type="dataBar" priority="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{BB406A33-EBF0-49C1-B4C3-BE06613D3488}</x14:id>
        </ext>
      </extLst>
    </cfRule>
    <cfRule type="dataBar" priority="3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{7500B397-5913-4D5C-98E0-EFCF5F95AF0F}</x14:id>
        </ext>
      </extLst>
    </cfRule>
    <cfRule type="dataBar" priority="3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{A974B861-2361-449C-9B08-110CCCD16C1C}</x14:id>
        </ext>
      </extLst>
    </cfRule>
    <cfRule type="dataBar" priority="3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{322EFF59-62F9-4769-9452-D98D4B0B130B}</x14:id>
        </ext>
      </extLst>
    </cfRule>
    <cfRule type="dataBar" priority="4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{BCD1117B-0048-47C2-A1C3-E057B2689BCB}</x14:id>
        </ext>
      </extLst>
    </cfRule>
    <cfRule type="dataBar" priority="4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{85616FA1-6B1B-4899-B9A0-554C79740424}</x14:id>
        </ext>
      </extLst>
    </cfRule>
    <cfRule type="dataBar" priority="4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{27CAB6D7-D486-4BD6-9C91-1B2DA3310033}</x14:id>
        </ext>
      </extLst>
    </cfRule>
    <cfRule type="dataBar" priority="4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{E6C80D6B-3223-4C4A-8663-0D1605834044}</x14:id>
        </ext>
      </extLst>
    </cfRule>
    <cfRule type="dataBar" priority="4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{7FEA6005-398C-4F2A-B403-7AC9F7D6B5B2}</x14:id>
        </ext>
      </extLst>
    </cfRule>
    <cfRule type="dataBar" priority="4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{2D214B88-D475-4D84-83E2-49F6E1E98F7B}</x14:id>
        </ext>
      </extLst>
    </cfRule>
    <cfRule type="dataBar" priority="4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{595BEBE4-5A43-4CE9-8A0D-7BD8680B23FD}</x14:id>
        </ext>
      </extLst>
    </cfRule>
    <cfRule type="dataBar" priority="4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{E291F13C-95FC-42CC-98FA-8A0474B21AA6}</x14:id>
        </ext>
      </extLst>
    </cfRule>
    <cfRule type="dataBar" priority="4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{8A4B2CD6-7479-4F6D-81D6-DBC0BAE1C656}</x14:id>
        </ext>
      </extLst>
    </cfRule>
  </conditionalFormatting>
  <conditionalFormatting sqref="E19:E21">
    <cfRule type="dataBar" priority="1402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{3930CFBB-E0B5-4DE7-9538-23454F966203}</x14:id>
        </ext>
      </extLst>
    </cfRule>
    <cfRule type="dataBar" priority="1402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{34F62FFE-C65C-4415-A901-0DE2E062FBCA}</x14:id>
        </ext>
      </extLst>
    </cfRule>
    <cfRule type="dataBar" priority="1402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{3CC4345A-5F56-4985-BFA9-7E20C3BFE042}</x14:id>
        </ext>
      </extLst>
    </cfRule>
    <cfRule type="dataBar" priority="140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{425862F5-30C2-4A8E-B240-718C6E8EEB85}</x14:id>
        </ext>
      </extLst>
    </cfRule>
    <cfRule type="dataBar" priority="140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{4EB97EFC-6CC9-4735-8AF8-AE85526A6C85}</x14:id>
        </ext>
      </extLst>
    </cfRule>
    <cfRule type="dataBar" priority="1402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{A8426B9F-C667-4AD5-95D6-B40B9C028A73}</x14:id>
        </ext>
      </extLst>
    </cfRule>
    <cfRule type="dataBar" priority="1402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{929E620B-44E8-413F-80FD-8FB6C282C817}</x14:id>
        </ext>
      </extLst>
    </cfRule>
    <cfRule type="dataBar" priority="1402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{8577704D-890C-4887-BC9D-DE95450364D6}</x14:id>
        </ext>
      </extLst>
    </cfRule>
    <cfRule type="dataBar" priority="1402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{63658ED6-1C14-4385-91E4-B085127E8AD9}</x14:id>
        </ext>
      </extLst>
    </cfRule>
    <cfRule type="dataBar" priority="1402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{25D1F06F-61F7-4C5B-94D5-2BDD32D55208}</x14:id>
        </ext>
      </extLst>
    </cfRule>
    <cfRule type="dataBar" priority="1402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{F2E1C88F-7FD4-43DC-8A2A-7894259AE95C}</x14:id>
        </ext>
      </extLst>
    </cfRule>
    <cfRule type="dataBar" priority="1402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{593F41E6-6B1D-4534-993C-4999AAC76323}</x14:id>
        </ext>
      </extLst>
    </cfRule>
    <cfRule type="dataBar" priority="1402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{316F5F91-89BB-43AC-A82E-E95DA867EBF5}</x14:id>
        </ext>
      </extLst>
    </cfRule>
    <cfRule type="dataBar" priority="1402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{F6846B65-5ADD-42A5-A245-4ABAB7E434EA}</x14:id>
        </ext>
      </extLst>
    </cfRule>
    <cfRule type="dataBar" priority="1402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{7292F0CC-1DCE-45B8-85D7-C7BAE6DA4062}</x14:id>
        </ext>
      </extLst>
    </cfRule>
    <cfRule type="dataBar" priority="1402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{29DBCFAE-E2BD-49FE-9A83-3CD5EAEC10DF}</x14:id>
        </ext>
      </extLst>
    </cfRule>
    <cfRule type="dataBar" priority="1402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{12502ACE-2998-4ED6-BE8D-2A2E6E5BB7FF}</x14:id>
        </ext>
      </extLst>
    </cfRule>
    <cfRule type="dataBar" priority="1402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{EAF51B90-3864-4442-AF2C-B7158F4BD7F8}</x14:id>
        </ext>
      </extLst>
    </cfRule>
    <cfRule type="dataBar" priority="1402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{17463F95-8004-46E0-AC9E-CA679A610B25}</x14:id>
        </ext>
      </extLst>
    </cfRule>
    <cfRule type="dataBar" priority="1402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{8B0D2CAE-F540-4D77-8F60-5F6E6DBCA7EE}</x14:id>
        </ext>
      </extLst>
    </cfRule>
    <cfRule type="dataBar" priority="1402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{53BE3FD5-1AC7-4318-B84A-EFAF3DFF2113}</x14:id>
        </ext>
      </extLst>
    </cfRule>
    <cfRule type="dataBar" priority="1402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{4330B430-344D-447C-9DB2-E339605A0D16}</x14:id>
        </ext>
      </extLst>
    </cfRule>
    <cfRule type="dataBar" priority="1403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{A53D0B6F-CD7E-4B63-96FF-E5D056A6A6E4}</x14:id>
        </ext>
      </extLst>
    </cfRule>
    <cfRule type="dataBar" priority="1403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{0966620D-5506-412A-BAE3-42015C201499}</x14:id>
        </ext>
      </extLst>
    </cfRule>
    <cfRule type="dataBar" priority="1403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{F506F2C1-BF84-420F-AC0B-7C8670AFD7D8}</x14:id>
        </ext>
      </extLst>
    </cfRule>
  </conditionalFormatting>
  <conditionalFormatting sqref="E23">
    <cfRule type="dataBar" priority="1402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{C27B0703-5940-49DF-86DF-AE25ECE51D90}</x14:id>
        </ext>
      </extLst>
    </cfRule>
    <cfRule type="dataBar" priority="1402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{B7C86B54-7D52-4B8A-9F54-974D7E771AE8}</x14:id>
        </ext>
      </extLst>
    </cfRule>
    <cfRule type="dataBar" priority="1402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{3787C54C-055F-4854-86A3-E323E48BAC95}</x14:id>
        </ext>
      </extLst>
    </cfRule>
    <cfRule type="dataBar" priority="1402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{7FECFB40-9055-4389-A93A-71A2A32339B4}</x14:id>
        </ext>
      </extLst>
    </cfRule>
    <cfRule type="dataBar" priority="1402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{13944FAD-BE68-4780-AAB7-CB9788434E6B}</x14:id>
        </ext>
      </extLst>
    </cfRule>
    <cfRule type="dataBar" priority="1402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{0C203E5D-A4DB-473E-952B-1BB7B10C7731}</x14:id>
        </ext>
      </extLst>
    </cfRule>
    <cfRule type="dataBar" priority="1402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{D3EE1207-8DD8-45BA-8129-A6EE19BD6C15}</x14:id>
        </ext>
      </extLst>
    </cfRule>
    <cfRule type="dataBar" priority="1402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{3DD1CBB2-580A-4908-A122-2A4F821FEBA5}</x14:id>
        </ext>
      </extLst>
    </cfRule>
    <cfRule type="dataBar" priority="1402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{14ADD419-0CA4-4B0E-9006-CC104FD4163B}</x14:id>
        </ext>
      </extLst>
    </cfRule>
    <cfRule type="dataBar" priority="1402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{FFD7C868-60D3-42C0-B371-890776D9D8D0}</x14:id>
        </ext>
      </extLst>
    </cfRule>
    <cfRule type="dataBar" priority="1402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{B132A72F-AAEF-49FB-9781-C4A209B4D775}</x14:id>
        </ext>
      </extLst>
    </cfRule>
    <cfRule type="dataBar" priority="1402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{D2BA69AD-401D-4363-ABFC-7423AD70FCB3}</x14:id>
        </ext>
      </extLst>
    </cfRule>
    <cfRule type="dataBar" priority="1402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{CCA35099-11FB-4796-9573-BBD8CE6B2EC8}</x14:id>
        </ext>
      </extLst>
    </cfRule>
    <cfRule type="dataBar" priority="1402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{15BA039D-71EE-4D6E-B707-88699C6CCA63}</x14:id>
        </ext>
      </extLst>
    </cfRule>
    <cfRule type="dataBar" priority="1402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{8121AB68-F35C-42C9-9213-F5527821F060}</x14:id>
        </ext>
      </extLst>
    </cfRule>
    <cfRule type="dataBar" priority="1402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{EBFED706-1193-4A0C-B981-1DCFC2E1373E}</x14:id>
        </ext>
      </extLst>
    </cfRule>
    <cfRule type="dataBar" priority="1402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{9BBA54B0-374C-4A91-B769-188A41305783}</x14:id>
        </ext>
      </extLst>
    </cfRule>
    <cfRule type="dataBar" priority="1402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{686C1BF8-5B02-4DF4-B2FE-7D50075E093C}</x14:id>
        </ext>
      </extLst>
    </cfRule>
    <cfRule type="dataBar" priority="1402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{4997594B-780A-439A-9083-F88F50D19A83}</x14:id>
        </ext>
      </extLst>
    </cfRule>
    <cfRule type="dataBar" priority="1402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{E09AEF89-3E86-44CE-B70D-B7A869F4BC86}</x14:id>
        </ext>
      </extLst>
    </cfRule>
    <cfRule type="dataBar" priority="140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{67176C69-F299-4980-8E59-A772EA0A17ED}</x14:id>
        </ext>
      </extLst>
    </cfRule>
    <cfRule type="dataBar" priority="1402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{7E7D815F-42D6-4079-A3B3-FAB790476A23}</x14:id>
        </ext>
      </extLst>
    </cfRule>
    <cfRule type="dataBar" priority="140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{D7B30EBF-A145-4181-8F2B-C0F18C9E37DC}</x14:id>
        </ext>
      </extLst>
    </cfRule>
    <cfRule type="dataBar" priority="140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{DEEB69D8-D462-4857-AAE6-21C8BBD1B375}</x14:id>
        </ext>
      </extLst>
    </cfRule>
    <cfRule type="dataBar" priority="1402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{904EFB6E-18EE-441E-81E3-D3C45FB96A85}</x14:id>
        </ext>
      </extLst>
    </cfRule>
  </conditionalFormatting>
  <conditionalFormatting sqref="F2 F23 F19:F20">
    <cfRule type="dataBar" priority="1386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{4F46D6B9-C3AF-4E95-AA66-FFD2AA73B656}</x14:id>
        </ext>
      </extLst>
    </cfRule>
  </conditionalFormatting>
  <conditionalFormatting sqref="F17:F22">
    <cfRule type="dataBar" priority="1403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{142CEEEF-1B09-4295-9759-7D58A7A356B3}</x14:id>
        </ext>
      </extLst>
    </cfRule>
    <cfRule type="dataBar" priority="1403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{A00948CC-F0FA-4CB9-8C69-9EE34274793A}</x14:id>
        </ext>
      </extLst>
    </cfRule>
    <cfRule type="dataBar" priority="1403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{E1194808-02FA-4AC3-B90A-E024A6554F2C}</x14:id>
        </ext>
      </extLst>
    </cfRule>
    <cfRule type="dataBar" priority="1403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{5991E421-F677-4D9C-B7BD-79A43776F2F3}</x14:id>
        </ext>
      </extLst>
    </cfRule>
    <cfRule type="dataBar" priority="140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{A6377174-F602-4482-8085-3DD326AE4E05}</x14:id>
        </ext>
      </extLst>
    </cfRule>
    <cfRule type="dataBar" priority="1403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{2DC10A9E-D0C8-439C-A1B2-C92FEB2EFEE5}</x14:id>
        </ext>
      </extLst>
    </cfRule>
    <cfRule type="dataBar" priority="1403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{A65D212C-932C-40BB-8251-2E7D90BA049D}</x14:id>
        </ext>
      </extLst>
    </cfRule>
    <cfRule type="dataBar" priority="1403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{C8A00533-7590-457C-93F7-816D9A028C54}</x14:id>
        </ext>
      </extLst>
    </cfRule>
    <cfRule type="dataBar" priority="1403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{179256F2-22F8-45D3-9677-E69E9E82F7BC}</x14:id>
        </ext>
      </extLst>
    </cfRule>
    <cfRule type="dataBar" priority="1403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{E6D9BBD0-8C71-43EC-A912-B14577395B44}</x14:id>
        </ext>
      </extLst>
    </cfRule>
    <cfRule type="dataBar" priority="1403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{42E4311A-E3B1-4DD5-B4FC-7BF083F51DE6}</x14:id>
        </ext>
      </extLst>
    </cfRule>
    <cfRule type="dataBar" priority="1403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{6EA4EA60-141D-4498-8A75-E982C6923272}</x14:id>
        </ext>
      </extLst>
    </cfRule>
    <cfRule type="dataBar" priority="1403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{41513EFE-D342-4DD5-A110-A1A9608DD360}</x14:id>
        </ext>
      </extLst>
    </cfRule>
    <cfRule type="dataBar" priority="1403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{D65BBF7F-3585-41A5-A94B-3A7DA79202C7}</x14:id>
        </ext>
      </extLst>
    </cfRule>
    <cfRule type="dataBar" priority="1403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{72EF5D36-56F4-4AB2-AA51-891244395DAE}</x14:id>
        </ext>
      </extLst>
    </cfRule>
    <cfRule type="dataBar" priority="1403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{B109AA0D-8B48-4333-AE79-11CED32F4D90}</x14:id>
        </ext>
      </extLst>
    </cfRule>
    <cfRule type="dataBar" priority="1403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{C081C384-FFCE-49C5-90AA-207232E155A4}</x14:id>
        </ext>
      </extLst>
    </cfRule>
    <cfRule type="dataBar" priority="1403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{7C3CA7AB-9FB0-470F-ACDE-88EEDDBBB4D8}</x14:id>
        </ext>
      </extLst>
    </cfRule>
    <cfRule type="dataBar" priority="1403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{33EBA167-65DB-42EA-A81D-EF1C9549611C}</x14:id>
        </ext>
      </extLst>
    </cfRule>
    <cfRule type="dataBar" priority="1403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{513DABD8-0192-4829-9179-14023CF7BDED}</x14:id>
        </ext>
      </extLst>
    </cfRule>
    <cfRule type="dataBar" priority="1403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{42FC8A93-DA59-413A-A9E7-6FB5CF67CC93}</x14:id>
        </ext>
      </extLst>
    </cfRule>
  </conditionalFormatting>
  <conditionalFormatting sqref="F17:F23 F2">
    <cfRule type="dataBar" priority="140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{51A5CC75-D0C0-4040-9720-CCFA7DB9E9F2}</x14:id>
        </ext>
      </extLst>
    </cfRule>
  </conditionalFormatting>
  <conditionalFormatting sqref="F17:F23">
    <cfRule type="dataBar" priority="1403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{DA10DF41-E45F-4655-A934-AE230307CD69}</x14:id>
        </ext>
      </extLst>
    </cfRule>
    <cfRule type="dataBar" priority="1403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{EF3E503E-DE01-4F91-AA7D-C66299B7CB07}</x14:id>
        </ext>
      </extLst>
    </cfRule>
  </conditionalFormatting>
  <conditionalFormatting sqref="F19:F20 F23">
    <cfRule type="dataBar" priority="1386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{EA9AD001-56DA-4B98-90C3-801AC995EE66}</x14:id>
        </ext>
      </extLst>
    </cfRule>
  </conditionalFormatting>
  <conditionalFormatting sqref="F19:F20">
    <cfRule type="dataBar" priority="1403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{12C852D5-CD78-4278-9CA8-AF7C8322EF7C}</x14:id>
        </ext>
      </extLst>
    </cfRule>
    <cfRule type="dataBar" priority="1403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{3862CC9C-84D7-4AE8-85F7-EF67D075E143}</x14:id>
        </ext>
      </extLst>
    </cfRule>
    <cfRule type="dataBar" priority="1403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{16EFDF39-B16B-4318-BEBD-70A555A43818}</x14:id>
        </ext>
      </extLst>
    </cfRule>
    <cfRule type="dataBar" priority="1403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{8BEFD46A-C1FA-497F-86F3-308217C4946E}</x14:id>
        </ext>
      </extLst>
    </cfRule>
    <cfRule type="dataBar" priority="140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{316EA8C0-81EE-4102-99BF-E49F07A3B9B7}</x14:id>
        </ext>
      </extLst>
    </cfRule>
    <cfRule type="dataBar" priority="140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{C3BDD359-C469-4D4B-AC1F-D6D52A0C2526}</x14:id>
        </ext>
      </extLst>
    </cfRule>
    <cfRule type="dataBar" priority="140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{AC65CBEF-6EDA-4586-9A6E-E73FA04D784E}</x14:id>
        </ext>
      </extLst>
    </cfRule>
    <cfRule type="dataBar" priority="140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{3B69364E-162C-413E-B53A-28C8BDEA3013}</x14:id>
        </ext>
      </extLst>
    </cfRule>
    <cfRule type="dataBar" priority="140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{0E86753F-FBD6-4B6A-9759-30B85C4FDF16}</x14:id>
        </ext>
      </extLst>
    </cfRule>
  </conditionalFormatting>
  <conditionalFormatting sqref="F19:F21 F23">
    <cfRule type="dataBar" priority="1387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{62C500E5-DDEE-4E8D-B897-C630E3EF7F63}</x14:id>
        </ext>
      </extLst>
    </cfRule>
  </conditionalFormatting>
  <conditionalFormatting sqref="F19:F21">
    <cfRule type="dataBar" priority="140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{4A0E0A98-1302-4868-8EC8-F010759AA806}</x14:id>
        </ext>
      </extLst>
    </cfRule>
    <cfRule type="dataBar" priority="140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{7C47C6E0-C29D-4DB2-AE38-D43822134C3A}</x14:id>
        </ext>
      </extLst>
    </cfRule>
    <cfRule type="dataBar" priority="140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{7BAC379C-EB3A-42A6-B5EF-DA20D4DC42D2}</x14:id>
        </ext>
      </extLst>
    </cfRule>
    <cfRule type="dataBar" priority="140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{1178C30E-CD0B-4FAE-9AB8-C164D857CB45}</x14:id>
        </ext>
      </extLst>
    </cfRule>
    <cfRule type="dataBar" priority="140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{23CD4402-B4AD-43F8-A524-0A2376E38FA7}</x14:id>
        </ext>
      </extLst>
    </cfRule>
  </conditionalFormatting>
  <conditionalFormatting sqref="F21">
    <cfRule type="dataBar" priority="1387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{FEA90C50-C974-4935-9120-41898B9D7E58}</x14:id>
        </ext>
      </extLst>
    </cfRule>
    <cfRule type="dataBar" priority="1387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{982BFA26-CDC9-4207-B8FF-E1FF34AC4576}</x14:id>
        </ext>
      </extLst>
    </cfRule>
    <cfRule type="dataBar" priority="1387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{67534087-A74F-4649-8E79-32A7E113087D}</x14:id>
        </ext>
      </extLst>
    </cfRule>
    <cfRule type="dataBar" priority="1387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{608E4354-7650-4CC3-BA4E-BE889FF2FCE2}</x14:id>
        </ext>
      </extLst>
    </cfRule>
    <cfRule type="dataBar" priority="1387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{E402C652-5D98-4470-AC58-ADAD3DCA3B5E}</x14:id>
        </ext>
      </extLst>
    </cfRule>
    <cfRule type="dataBar" priority="1387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{E4043B24-6C82-4B5A-898D-628873B3F2A3}</x14:id>
        </ext>
      </extLst>
    </cfRule>
    <cfRule type="dataBar" priority="1387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{7E482424-1E44-463C-88D8-1AE95CC0580D}</x14:id>
        </ext>
      </extLst>
    </cfRule>
    <cfRule type="dataBar" priority="1387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{37904552-ABAD-497C-B548-BE56127FE441}</x14:id>
        </ext>
      </extLst>
    </cfRule>
    <cfRule type="dataBar" priority="1387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{C61108C7-ADE6-4EAB-B999-4D16C450AD60}</x14:id>
        </ext>
      </extLst>
    </cfRule>
    <cfRule type="dataBar" priority="1387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{1750DE90-DDFB-4EA7-8EB6-7200DBC3718A}</x14:id>
        </ext>
      </extLst>
    </cfRule>
    <cfRule type="dataBar" priority="1387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{A60C7587-51D0-4950-A952-386EB1E8725A}</x14:id>
        </ext>
      </extLst>
    </cfRule>
    <cfRule type="dataBar" priority="1387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{2E13BE45-46DD-4FAA-A212-EC54FD85F9C8}</x14:id>
        </ext>
      </extLst>
    </cfRule>
    <cfRule type="dataBar" priority="1387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{4C6C9BF2-255F-4057-A871-E4643BB3CA57}</x14:id>
        </ext>
      </extLst>
    </cfRule>
    <cfRule type="dataBar" priority="1387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{38F8C26F-3534-43AD-A81F-404EA1FD6A79}</x14:id>
        </ext>
      </extLst>
    </cfRule>
    <cfRule type="dataBar" priority="1387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{83EB10DA-ACCF-4BEF-947F-8A5ADE7A1576}</x14:id>
        </ext>
      </extLst>
    </cfRule>
    <cfRule type="dataBar" priority="1387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{28A0F60C-70E1-4D45-91CC-0DDC6272581C}</x14:id>
        </ext>
      </extLst>
    </cfRule>
    <cfRule type="dataBar" priority="1387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{A7ABF6AD-52D3-437A-B3D6-102593391E0E}</x14:id>
        </ext>
      </extLst>
    </cfRule>
    <cfRule type="dataBar" priority="1387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{5A74CBE9-BB4B-4F01-B1C4-BC4E3C7E4DD9}</x14:id>
        </ext>
      </extLst>
    </cfRule>
    <cfRule type="dataBar" priority="1387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{B1A80266-0FF5-4255-B170-00FB3CE252A2}</x14:id>
        </ext>
      </extLst>
    </cfRule>
    <cfRule type="dataBar" priority="1387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{787A0BBD-13D9-450A-A21A-CD4741AB1F1E}</x14:id>
        </ext>
      </extLst>
    </cfRule>
    <cfRule type="dataBar" priority="1387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{0A72F7D3-9176-49E3-90A6-C9FFAD5B35EB}</x14:id>
        </ext>
      </extLst>
    </cfRule>
    <cfRule type="dataBar" priority="1387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{58F1F745-B3CD-4571-A999-C178FC39960E}</x14:id>
        </ext>
      </extLst>
    </cfRule>
    <cfRule type="dataBar" priority="1387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{AD407BED-3902-491A-AA3D-2489BFDEF558}</x14:id>
        </ext>
      </extLst>
    </cfRule>
    <cfRule type="dataBar" priority="1387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{D9599924-546B-4B68-987D-573B27A363EC}</x14:id>
        </ext>
      </extLst>
    </cfRule>
    <cfRule type="dataBar" priority="1387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{E21B6A4E-6BC4-4A59-9664-7045D650C98A}</x14:id>
        </ext>
      </extLst>
    </cfRule>
    <cfRule type="dataBar" priority="1387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{5B611094-17B0-45C8-AB6B-1F195FB5C8B6}</x14:id>
        </ext>
      </extLst>
    </cfRule>
    <cfRule type="dataBar" priority="1387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{37024388-E70E-41C2-9634-69FFCEE4C236}</x14:id>
        </ext>
      </extLst>
    </cfRule>
  </conditionalFormatting>
  <conditionalFormatting sqref="F23">
    <cfRule type="dataBar" priority="1387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{737CAD9F-A60F-4E4E-8D1D-4EB18DE53759}</x14:id>
        </ext>
      </extLst>
    </cfRule>
    <cfRule type="dataBar" priority="1387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{401BC4FD-EEC6-41E6-AB09-B173F41218C1}</x14:id>
        </ext>
      </extLst>
    </cfRule>
    <cfRule type="dataBar" priority="1387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{9CEEB8A0-1D91-4E2F-AD13-F11A46AA89D1}</x14:id>
        </ext>
      </extLst>
    </cfRule>
    <cfRule type="dataBar" priority="1387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{B2891DA7-4053-4333-AB9F-93EE293B1F8B}</x14:id>
        </ext>
      </extLst>
    </cfRule>
    <cfRule type="dataBar" priority="1387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{35D553D0-97A3-4A15-B452-71CE177A0158}</x14:id>
        </ext>
      </extLst>
    </cfRule>
    <cfRule type="dataBar" priority="1387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{EC967BC3-B987-4E40-90FD-581BA7FEF7B0}</x14:id>
        </ext>
      </extLst>
    </cfRule>
    <cfRule type="dataBar" priority="1387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{CC4357C9-C526-42CB-8655-D14802994BF6}</x14:id>
        </ext>
      </extLst>
    </cfRule>
    <cfRule type="dataBar" priority="1387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{53CDA331-20E1-46CA-B6A5-51667B11DBCD}</x14:id>
        </ext>
      </extLst>
    </cfRule>
    <cfRule type="dataBar" priority="1387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{0C6C84C6-97A0-4A7B-8202-CD63DB0BE72B}</x14:id>
        </ext>
      </extLst>
    </cfRule>
    <cfRule type="dataBar" priority="1387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{BFEA3BBE-7D36-4092-905B-28C4F6D17DA8}</x14:id>
        </ext>
      </extLst>
    </cfRule>
    <cfRule type="dataBar" priority="1387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{707AFD5A-EE26-47C5-B60F-3E652164F47D}</x14:id>
        </ext>
      </extLst>
    </cfRule>
    <cfRule type="dataBar" priority="1387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{B2774373-1DE4-45F4-933A-47D673806039}</x14:id>
        </ext>
      </extLst>
    </cfRule>
    <cfRule type="dataBar" priority="1387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{6AFA4A58-06E5-4041-8EB5-6F0152B85A39}</x14:id>
        </ext>
      </extLst>
    </cfRule>
    <cfRule type="dataBar" priority="138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{14FEB748-ABFA-45B2-9A02-F8350B218B23}</x14:id>
        </ext>
      </extLst>
    </cfRule>
    <cfRule type="dataBar" priority="138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{95C79F23-09FD-4364-9F0F-329238F8F44B}</x14:id>
        </ext>
      </extLst>
    </cfRule>
    <cfRule type="dataBar" priority="138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{F109AB21-B982-4C9A-9E79-4F11D0CF7850}</x14:id>
        </ext>
      </extLst>
    </cfRule>
    <cfRule type="dataBar" priority="138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{71946D12-6777-44D1-BCCA-3034453B5F14}</x14:id>
        </ext>
      </extLst>
    </cfRule>
    <cfRule type="dataBar" priority="1387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{FFF3FB88-C6F2-44BB-8F90-4BA94BDDEA78}</x14:id>
        </ext>
      </extLst>
    </cfRule>
    <cfRule type="dataBar" priority="1387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{BC05638B-1D5F-4A95-84BE-8503522F4DF3}</x14:id>
        </ext>
      </extLst>
    </cfRule>
    <cfRule type="dataBar" priority="1387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{25D23EDA-2333-4DAE-BCB1-372D90902AAF}</x14:id>
        </ext>
      </extLst>
    </cfRule>
    <cfRule type="dataBar" priority="1387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{3F3FD221-B914-4135-A488-B7DF9197036C}</x14:id>
        </ext>
      </extLst>
    </cfRule>
  </conditionalFormatting>
  <conditionalFormatting sqref="I2">
    <cfRule type="dataBar" priority="7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{09141E41-D870-48D7-A5B6-E3A4489ECCF9}</x14:id>
        </ext>
      </extLst>
    </cfRule>
  </conditionalFormatting>
  <conditionalFormatting sqref="E3:E14">
    <cfRule type="dataBar" priority="1478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{4E1A68C4-8D72-4A45-B75F-04463FAE5ACF}</x14:id>
        </ext>
      </extLst>
    </cfRule>
    <cfRule type="dataBar" priority="1478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{146DCAAF-0C10-49E2-B2B5-3C684F8C5A98}</x14:id>
        </ext>
      </extLst>
    </cfRule>
    <cfRule type="dataBar" priority="1478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{C19E5F00-2F3F-4E02-BB8B-D02D9DB22C7F}</x14:id>
        </ext>
      </extLst>
    </cfRule>
    <cfRule type="dataBar" priority="1478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{D4CA12BF-3DEF-41FB-96BC-3AFEAFE03AF5}</x14:id>
        </ext>
      </extLst>
    </cfRule>
    <cfRule type="dataBar" priority="1478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{CE3C4CB0-89D4-494F-82B5-C74BECEC804B}</x14:id>
        </ext>
      </extLst>
    </cfRule>
    <cfRule type="dataBar" priority="1478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{E5C7CCAF-92E4-4765-AD1C-E3A45485BA76}</x14:id>
        </ext>
      </extLst>
    </cfRule>
    <cfRule type="dataBar" priority="1478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{35ADA2F6-738F-4829-BCD3-AB91241369F9}</x14:id>
        </ext>
      </extLst>
    </cfRule>
    <cfRule type="dataBar" priority="1478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{804F792A-76BE-4119-B95B-8F7298B5E7E1}</x14:id>
        </ext>
      </extLst>
    </cfRule>
    <cfRule type="dataBar" priority="1478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{371E7AED-C58D-4566-AFD4-7056A84BE586}</x14:id>
        </ext>
      </extLst>
    </cfRule>
    <cfRule type="dataBar" priority="1478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{BAD4D401-34A6-4E50-B8DB-7D9133BC4564}</x14:id>
        </ext>
      </extLst>
    </cfRule>
    <cfRule type="dataBar" priority="1478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{37DE9CFD-E068-4039-9454-2BFDC98628ED}</x14:id>
        </ext>
      </extLst>
    </cfRule>
    <cfRule type="dataBar" priority="1478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{E9CA162F-EE72-4B7A-BBB5-580E196AA121}</x14:id>
        </ext>
      </extLst>
    </cfRule>
    <cfRule type="dataBar" priority="1478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{622561EE-C8B2-45C0-B592-D7FD5AABD8E0}</x14:id>
        </ext>
      </extLst>
    </cfRule>
    <cfRule type="dataBar" priority="1478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{4695A83B-63DF-4A0F-AC23-BF54FF5F7168}</x14:id>
        </ext>
      </extLst>
    </cfRule>
    <cfRule type="dataBar" priority="1478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{B0906E12-2DD1-4E85-B805-9BBA7D5CB33E}</x14:id>
        </ext>
      </extLst>
    </cfRule>
    <cfRule type="dataBar" priority="1478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{A800D2C8-7313-4493-A610-2CBF4647BACD}</x14:id>
        </ext>
      </extLst>
    </cfRule>
    <cfRule type="dataBar" priority="1478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{EBDDD61F-BEA4-4137-88FD-91DC36714466}</x14:id>
        </ext>
      </extLst>
    </cfRule>
    <cfRule type="dataBar" priority="1478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{A00C2DDD-72EA-4B4F-B2A2-3D64642B5089}</x14:id>
        </ext>
      </extLst>
    </cfRule>
    <cfRule type="dataBar" priority="1478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{BA9D5FCC-7393-4EAF-89D8-3C927FCAA7E7}</x14:id>
        </ext>
      </extLst>
    </cfRule>
    <cfRule type="dataBar" priority="1478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{1DF31431-C9D3-40A9-9EC4-38B8CF069D16}</x14:id>
        </ext>
      </extLst>
    </cfRule>
    <cfRule type="dataBar" priority="1478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{46119119-D561-40B8-B2A5-A0BA22F56A2A}</x14:id>
        </ext>
      </extLst>
    </cfRule>
    <cfRule type="dataBar" priority="1478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{2FD89939-3888-40BF-9FA0-BD65B2A6E1B8}</x14:id>
        </ext>
      </extLst>
    </cfRule>
    <cfRule type="dataBar" priority="1478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{C2565F6A-1F02-42E8-8DDE-D38CFA746D3A}</x14:id>
        </ext>
      </extLst>
    </cfRule>
    <cfRule type="dataBar" priority="1478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{FF881056-ED7E-4C77-B711-166ED84840EA}</x14:id>
        </ext>
      </extLst>
    </cfRule>
    <cfRule type="dataBar" priority="1478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{AA057ADA-9C8A-4D8E-B816-6C9ADF25F754}</x14:id>
        </ext>
      </extLst>
    </cfRule>
  </conditionalFormatting>
  <conditionalFormatting sqref="E3:E15">
    <cfRule type="dataBar" priority="1479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{07FE0E19-1641-47BC-B072-A18F8C35B420}</x14:id>
        </ext>
      </extLst>
    </cfRule>
  </conditionalFormatting>
  <conditionalFormatting sqref="E3:E20">
    <cfRule type="dataBar" priority="1479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{617ED25F-573E-48B5-A89A-BB893450831B}</x14:id>
        </ext>
      </extLst>
    </cfRule>
  </conditionalFormatting>
  <conditionalFormatting sqref="E3:E22">
    <cfRule type="dataBar" priority="1479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{6222E11B-750B-4DF4-8F2A-B49A0F407570}</x14:id>
        </ext>
      </extLst>
    </cfRule>
  </conditionalFormatting>
  <conditionalFormatting sqref="E3:E23">
    <cfRule type="dataBar" priority="1479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{AFEBCB78-5BAC-4320-85E3-FD99AF678EBF}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3E4B78-67F4-4CBF-BC6D-E124FD5FA4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520854-183F-4AB2-8A71-20CB9B30E8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DEE55A-A80B-49DA-80D5-0D41152150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58E4D0FD-DD5E-4A35-924D-A8B34F1E382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5689E6F-A951-4FA5-B408-7B320C79CE9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B70FD9-70F5-4294-BB00-94B97B1028C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</xm:sqref>
        </x14:conditionalFormatting>
        <x14:conditionalFormatting xmlns:xm="http://schemas.microsoft.com/office/excel/2006/main">
          <x14:cfRule type="dataBar" id="{ECB57AB0-2114-4B7B-B0C8-8F5EA303426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29A4DA-60FC-435D-A9CE-BC3762BEA8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F3819E-AAEE-41A1-84C5-F41E26448A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C4175B-7164-48CD-951F-8FC20698A7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09CF30-77A7-43A2-9750-5FC78E38FD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188E7B-62A5-4965-809C-15717BEAAB37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2B9B6458-19D2-449B-A1E6-251D3F56344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0C4BC0D-3482-47EC-99B8-E5F68D5FBD29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9352543-9DB5-4766-8EFD-689910EE2D5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0261FF-C63E-4F9D-90D8-B33E8964D5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FD24852-5F12-4681-B6FE-447A46CD6EF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D4E064-F1FE-4665-A1A8-7303227631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59194F6-65B9-43FC-8F90-315A046E2C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7C1AB4-DE02-4036-98B2-15ACAEDB4B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4B27E2C-2ABB-439E-AA63-56B2AA655F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64DD7-26A5-4787-B04E-33BB9CC6841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A870A17B-C1B0-4E10-A52E-E0131570D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29F7B5-C7FE-49DA-BF5A-B18D11FFEC1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0F97E31-4891-4717-A040-851DFD731B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DA75453-AC43-4D1C-87A9-E6883FF86A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0CC28B-23B7-4874-AF2C-CAB39630EC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909428-66E5-4ACB-A19B-B4FF30262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8AC8EB-49DB-43CF-A71C-093F06C6A0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59A79BE-2A13-4533-A0DC-A5DCCD21EC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E12DF31-47DF-461F-9E91-248344E99F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E15</xm:sqref>
        </x14:conditionalFormatting>
        <x14:conditionalFormatting xmlns:xm="http://schemas.microsoft.com/office/excel/2006/main">
          <x14:cfRule type="dataBar" id="{87AF51CF-1C25-4840-8156-D1697B639B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F9D15B-CCE6-4F1D-9686-75AABA03469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CCE5A0-448B-48E4-B5EC-916A86BCE7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3CAAEB-2839-4D9B-AAB9-8D5AA6D99BB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2097EA-BA07-49D7-9BE6-BC10FB956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B26AF6-1FFD-4525-A6F9-9766FF6AF4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F95E9815-4770-45EC-8D1D-8427E1D077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C511A3-AAA5-445F-B170-32F545E9C284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C56B1A2-0072-4FCD-905D-8289F17908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3178FE-309A-4F5D-B22E-D70E854D1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304EB1-3E5E-4484-B732-28AD73DF6A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7022C6-9D3E-4F3E-B262-B4673AE1E2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06A33-EBF0-49C1-B4C3-BE06613D348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500B397-5913-4D5C-98E0-EFCF5F95AF0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74B861-2361-449C-9B08-110CCCD16C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2EFF59-62F9-4769-9452-D98D4B0B130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BCD1117B-0048-47C2-A1C3-E057B2689BC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616FA1-6B1B-4899-B9A0-554C7974042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7CAB6D7-D486-4BD6-9C91-1B2DA33100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C80D6B-3223-4C4A-8663-0D16058340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A6005-398C-4F2A-B403-7AC9F7D6B5B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214B88-D475-4D84-83E2-49F6E1E98F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5BEBE4-5A43-4CE9-8A0D-7BD8680B23F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91F13C-95FC-42CC-98FA-8A0474B21AA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A4B2CD6-7479-4F6D-81D6-DBC0BAE1C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E16</xm:sqref>
        </x14:conditionalFormatting>
        <x14:conditionalFormatting xmlns:xm="http://schemas.microsoft.com/office/excel/2006/main">
          <x14:cfRule type="dataBar" id="{3930CFBB-E0B5-4DE7-9538-23454F966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4F62FFE-C65C-4415-A901-0DE2E062FBC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C4345A-5F56-4985-BFA9-7E20C3BFE0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5862F5-30C2-4A8E-B240-718C6E8EEB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EB97EFC-6CC9-4735-8AF8-AE85526A6C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426B9F-C667-4AD5-95D6-B40B9C028A73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29E620B-44E8-413F-80FD-8FB6C282C8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77704D-890C-4887-BC9D-DE95450364D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63658ED6-1C14-4385-91E4-B085127E8A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1F06F-61F7-4C5B-94D5-2BDD32D5520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2E1C88F-7FD4-43DC-8A2A-7894259AE9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3F41E6-6B1D-4534-993C-4999AAC763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F5F91-89BB-43AC-A82E-E95DA867E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846B65-5ADD-42A5-A245-4ABAB7E434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292F0CC-1DCE-45B8-85D7-C7BAE6DA40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9DBCFAE-E2BD-49FE-9A83-3CD5EAEC10D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2502ACE-2998-4ED6-BE8D-2A2E6E5BB7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F51B90-3864-4442-AF2C-B7158F4BD7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463F95-8004-46E0-AC9E-CA679A610B2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0D2CAE-F540-4D77-8F60-5F6E6DBCA7E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BE3FD5-1AC7-4318-B84A-EFAF3DFF21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330B430-344D-447C-9DB2-E339605A0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3D0B6F-CD7E-4B63-96FF-E5D056A6A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66620D-5506-412A-BAE3-42015C2014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506F2C1-BF84-420F-AC0B-7C8670AFD7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E19:E21</xm:sqref>
        </x14:conditionalFormatting>
        <x14:conditionalFormatting xmlns:xm="http://schemas.microsoft.com/office/excel/2006/main">
          <x14:cfRule type="dataBar" id="{C27B0703-5940-49DF-86DF-AE25ECE51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7C86B54-7D52-4B8A-9F54-974D7E771A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87C54C-055F-4854-86A3-E323E48BAC9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CFB40-9055-4389-A93A-71A2A32339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944FAD-BE68-4780-AAB7-CB9788434E6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203E5D-A4DB-473E-952B-1BB7B10C77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3EE1207-8DD8-45BA-8129-A6EE19BD6C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DD1CBB2-580A-4908-A122-2A4F821FEBA5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4ADD419-0CA4-4B0E-9006-CC104FD4163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D7C868-60D3-42C0-B371-890776D9D8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32A72F-AAEF-49FB-9781-C4A209B4D7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2BA69AD-401D-4363-ABFC-7423AD70FC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A35099-11FB-4796-9573-BBD8CE6B2E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5BA039D-71EE-4D6E-B707-88699C6CCA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21AB68-F35C-42C9-9213-F5527821F0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FED706-1193-4A0C-B981-1DCFC2E1373E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BBA54B0-374C-4A91-B769-188A413057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86C1BF8-5B02-4DF4-B2FE-7D50075E09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997594B-780A-439A-9083-F88F50D19A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09AEF89-3E86-44CE-B70D-B7A869F4BC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176C69-F299-4980-8E59-A772EA0A17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7D815F-42D6-4079-A3B3-FAB790476A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B30EBF-A145-4181-8F2B-C0F18C9E37D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EEB69D8-D462-4857-AAE6-21C8BBD1B3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04EFB6E-18EE-441E-81E3-D3C45FB96A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E23</xm:sqref>
        </x14:conditionalFormatting>
        <x14:conditionalFormatting xmlns:xm="http://schemas.microsoft.com/office/excel/2006/main">
          <x14:cfRule type="dataBar" id="{4F46D6B9-C3AF-4E95-AA66-FFD2AA73B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 F23 F19:F20</xm:sqref>
        </x14:conditionalFormatting>
        <x14:conditionalFormatting xmlns:xm="http://schemas.microsoft.com/office/excel/2006/main">
          <x14:cfRule type="dataBar" id="{142CEEEF-1B09-4295-9759-7D58A7A356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948CC-F0FA-4CB9-8C69-9EE3427479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194808-02FA-4AC3-B90A-E024A6554F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91E421-F677-4D9C-B7BD-79A43776F2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377174-F602-4482-8085-3DD326AE4E0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C10A9E-D0C8-439C-A1B2-C92FEB2EF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5D212C-932C-40BB-8251-2E7D90BA049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8A00533-7590-457C-93F7-816D9A028C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9256F2-22F8-45D3-9677-E69E9E82F7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D9BBD0-8C71-43EC-A912-B14577395B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E4311A-E3B1-4DD5-B4FC-7BF083F51DE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A4EA60-141D-4498-8A75-E982C69232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1513EFE-D342-4DD5-A110-A1A9608DD3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5BBF7F-3585-41A5-A94B-3A7DA7920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2EF5D36-56F4-4AB2-AA51-891244395DA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09AA0D-8B48-4333-AE79-11CED32F4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081C384-FFCE-49C5-90AA-207232E155A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3CA7AB-9FB0-470F-ACDE-88EEDDBBB4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3EBA167-65DB-42EA-A81D-EF1C954961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13DABD8-0192-4829-9179-14023CF7BD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FC8A93-DA59-413A-A9E7-6FB5CF67CC9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F17:F22</xm:sqref>
        </x14:conditionalFormatting>
        <x14:conditionalFormatting xmlns:xm="http://schemas.microsoft.com/office/excel/2006/main">
          <x14:cfRule type="dataBar" id="{51A5CC75-D0C0-4040-9720-CCFA7DB9E9F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F17:F23 F2</xm:sqref>
        </x14:conditionalFormatting>
        <x14:conditionalFormatting xmlns:xm="http://schemas.microsoft.com/office/excel/2006/main">
          <x14:cfRule type="dataBar" id="{DA10DF41-E45F-4655-A934-AE230307CD6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3E503E-DE01-4F91-AA7D-C66299B7CB0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F17:F23</xm:sqref>
        </x14:conditionalFormatting>
        <x14:conditionalFormatting xmlns:xm="http://schemas.microsoft.com/office/excel/2006/main">
          <x14:cfRule type="dataBar" id="{EA9AD001-56DA-4B98-90C3-801AC995EE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F19:F20 F23</xm:sqref>
        </x14:conditionalFormatting>
        <x14:conditionalFormatting xmlns:xm="http://schemas.microsoft.com/office/excel/2006/main">
          <x14:cfRule type="dataBar" id="{12C852D5-CD78-4278-9CA8-AF7C8322EF7C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862CC9C-84D7-4AE8-85F7-EF67D075E14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EFDF39-B16B-4318-BEBD-70A555A4381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EFD46A-C1FA-497F-86F3-308217C4946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EA8C0-81EE-4102-99BF-E49F07A3B9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3BDD359-C469-4D4B-AC1F-D6D52A0C252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C65CBEF-6EDA-4586-9A6E-E73FA04D78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B69364E-162C-413E-B53A-28C8BDEA30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E86753F-FBD6-4B6A-9759-30B85C4FDF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F19:F20</xm:sqref>
        </x14:conditionalFormatting>
        <x14:conditionalFormatting xmlns:xm="http://schemas.microsoft.com/office/excel/2006/main">
          <x14:cfRule type="dataBar" id="{62C500E5-DDEE-4E8D-B897-C630E3EF7F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F19:F21 F23</xm:sqref>
        </x14:conditionalFormatting>
        <x14:conditionalFormatting xmlns:xm="http://schemas.microsoft.com/office/excel/2006/main">
          <x14:cfRule type="dataBar" id="{4A0E0A98-1302-4868-8EC8-F010759AA8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47C6E0-C29D-4DB2-AE38-D43822134C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AC379C-EB3A-42A6-B5EF-DA20D4DC42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178C30E-CD0B-4FAE-9AB8-C164D857CB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D4402-B4AD-43F8-A524-0A2376E38FA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F19:F21</xm:sqref>
        </x14:conditionalFormatting>
        <x14:conditionalFormatting xmlns:xm="http://schemas.microsoft.com/office/excel/2006/main">
          <x14:cfRule type="dataBar" id="{FEA90C50-C974-4935-9120-41898B9D7E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2BFA26-CDC9-4207-B8FF-E1FF34AC4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534087-A74F-4649-8E79-32A7E11308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8E4354-7650-4CC3-BA4E-BE889FF2FCE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2C652-5D98-4470-AC58-ADAD3DCA3B5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43B24-6C82-4B5A-898D-628873B3F2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482424-1E44-463C-88D8-1AE95CC0580D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7904552-ABAD-497C-B548-BE56127FE44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61108C7-ADE6-4EAB-B999-4D16C450AD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50DE90-DDFB-4EA7-8EB6-7200DBC371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0C7587-51D0-4950-A952-386EB1E8725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E13BE45-46DD-4FAA-A212-EC54FD85F9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C6C9BF2-255F-4057-A871-E4643BB3CA5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F8C26F-3534-43AD-A81F-404EA1FD6A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EB10DA-ACCF-4BEF-947F-8A5ADE7A1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A0F60C-70E1-4D45-91CC-0DDC627258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ABF6AD-52D3-437A-B3D6-102593391E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A74CBE9-BB4B-4F01-B1C4-BC4E3C7E4D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A80266-0FF5-4255-B170-00FB3CE252A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87A0BBD-13D9-450A-A21A-CD4741AB1F1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72F7D3-9176-49E3-90A6-C9FFAD5B35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F1F745-B3CD-4571-A999-C178FC3996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D407BED-3902-491A-AA3D-2489BFDEF5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599924-546B-4B68-987D-573B27A363E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1B6A4E-6BC4-4A59-9664-7045D650C9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611094-17B0-45C8-AB6B-1F195FB5C8B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024388-E70E-41C2-9634-69FFCEE4C2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F21</xm:sqref>
        </x14:conditionalFormatting>
        <x14:conditionalFormatting xmlns:xm="http://schemas.microsoft.com/office/excel/2006/main">
          <x14:cfRule type="dataBar" id="{737CAD9F-A60F-4E4E-8D1D-4EB18DE5375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01BC4FD-EEC6-41E6-AB09-B173F41218C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CEEB8A0-1D91-4E2F-AD13-F11A46AA89D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891DA7-4053-4333-AB9F-93EE293B1F8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D553D0-97A3-4A15-B452-71CE177A01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C967BC3-B987-4E40-90FD-581BA7FEF7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4357C9-C526-42CB-8655-D14802994B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CDA331-20E1-46CA-B6A5-51667B11DB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6C84C6-97A0-4A7B-8202-CD63DB0BE72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EA3BBE-7D36-4092-905B-28C4F6D17DA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07AFD5A-EE26-47C5-B60F-3E652164F4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774373-1DE4-45F4-933A-47D6738060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AFA4A58-06E5-4041-8EB5-6F0152B85A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FEB748-ABFA-45B2-9A02-F8350B218B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C79F23-09FD-4364-9F0F-329238F8F44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109AB21-B982-4C9A-9E79-4F11D0CF78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1946D12-6777-44D1-BCCA-3034453B5F1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F3FB88-C6F2-44BB-8F90-4BA94BDDEA7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05638B-1D5F-4A95-84BE-8503522F4D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23EDA-2333-4DAE-BCB1-372D90902AA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3FD221-B914-4135-A488-B7DF9197036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F23</xm:sqref>
        </x14:conditionalFormatting>
        <x14:conditionalFormatting xmlns:xm="http://schemas.microsoft.com/office/excel/2006/main">
          <x14:cfRule type="dataBar" id="{09141E41-D870-48D7-A5B6-E3A4489ECC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</xm:sqref>
        </x14:conditionalFormatting>
        <x14:conditionalFormatting xmlns:xm="http://schemas.microsoft.com/office/excel/2006/main">
          <x14:cfRule type="dataBar" id="{4E1A68C4-8D72-4A45-B75F-04463FAE5A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6DCAAF-0C10-49E2-B2B5-3C684F8C5A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19E5F00-2F3F-4E02-BB8B-D02D9DB22C7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4CA12BF-3DEF-41FB-96BC-3AFEAFE03A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3C4CB0-89D4-494F-82B5-C74BECEC804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E5C7CCAF-92E4-4765-AD1C-E3A45485BA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ADA2F6-738F-4829-BCD3-AB91241369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04F792A-76BE-4119-B95B-8F7298B5E7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1E7AED-C58D-4566-AFD4-7056A84BE5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D4D401-34A6-4E50-B8DB-7D9133BC456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E9CFD-E068-4039-9454-2BFDC98628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9CA162F-EE72-4B7A-BBB5-580E196AA12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2561EE-C8B2-45C0-B592-D7FD5AABD8E0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695A83B-63DF-4A0F-AC23-BF54FF5F71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0906E12-2DD1-4E85-B805-9BBA7D5CB3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00D2C8-7313-4493-A610-2CBF4647BA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DDD61F-BEA4-4137-88FD-91DC367144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C2DDD-72EA-4B4F-B2A2-3D64642B508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9D5FCC-7393-4EAF-89D8-3C927FCAA7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DF31431-C9D3-40A9-9EC4-38B8CF069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119119-D561-40B8-B2A5-A0BA22F56A2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89939-3888-40BF-9FA0-BD65B2A6E1B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565F6A-1F02-42E8-8DDE-D38CFA746D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881056-ED7E-4C77-B711-166ED84840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057ADA-9C8A-4D8E-B816-6C9ADF25F7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E3:E14</xm:sqref>
        </x14:conditionalFormatting>
        <x14:conditionalFormatting xmlns:xm="http://schemas.microsoft.com/office/excel/2006/main">
          <x14:cfRule type="dataBar" id="{07FE0E19-1641-47BC-B072-A18F8C35B42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E3:E15</xm:sqref>
        </x14:conditionalFormatting>
        <x14:conditionalFormatting xmlns:xm="http://schemas.microsoft.com/office/excel/2006/main">
          <x14:cfRule type="dataBar" id="{617ED25F-573E-48B5-A89A-BB89345083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E3:E20</xm:sqref>
        </x14:conditionalFormatting>
        <x14:conditionalFormatting xmlns:xm="http://schemas.microsoft.com/office/excel/2006/main">
          <x14:cfRule type="dataBar" id="{6222E11B-750B-4DF4-8F2A-B49A0F40757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E3:E22</xm:sqref>
        </x14:conditionalFormatting>
        <x14:conditionalFormatting xmlns:xm="http://schemas.microsoft.com/office/excel/2006/main">
          <x14:cfRule type="dataBar" id="{AFEBCB78-5BAC-4320-85E3-FD99AF678EB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B2:M47"/>
  <sheetViews>
    <sheetView zoomScaleNormal="100" workbookViewId="0">
      <selection activeCell="F20" sqref="F20"/>
    </sheetView>
  </sheetViews>
  <sheetFormatPr defaultRowHeight="16.5" x14ac:dyDescent="0.25"/>
  <cols>
    <col min="2" max="2" width="17" customWidth="1"/>
    <col min="3" max="3" width="16.125" bestFit="1" customWidth="1"/>
    <col min="4" max="4" width="10.625" customWidth="1"/>
    <col min="5" max="5" width="16.125" bestFit="1" customWidth="1"/>
    <col min="6" max="6" width="16.5" customWidth="1"/>
    <col min="7" max="7" width="13" customWidth="1"/>
    <col min="8" max="8" width="17" customWidth="1"/>
    <col min="9" max="9" width="12.5" customWidth="1"/>
    <col min="10" max="10" width="13" customWidth="1"/>
    <col min="11" max="11" width="10.875" customWidth="1"/>
    <col min="12" max="12" width="11.875" customWidth="1"/>
    <col min="13" max="13" width="11" customWidth="1"/>
  </cols>
  <sheetData>
    <row r="2" spans="2:6" x14ac:dyDescent="0.25">
      <c r="B2" s="140" t="s">
        <v>22</v>
      </c>
      <c r="C2" s="141"/>
      <c r="D2" s="141"/>
      <c r="E2" s="141"/>
      <c r="F2" s="141"/>
    </row>
    <row r="3" spans="2:6" x14ac:dyDescent="0.25">
      <c r="B3" s="1" t="s">
        <v>39</v>
      </c>
      <c r="C3" s="1" t="s">
        <v>40</v>
      </c>
      <c r="D3" s="1" t="s">
        <v>41</v>
      </c>
      <c r="E3" s="27" t="s">
        <v>42</v>
      </c>
      <c r="F3" s="1" t="s">
        <v>38</v>
      </c>
    </row>
    <row r="4" spans="2:6" x14ac:dyDescent="0.25">
      <c r="B4" s="7" t="s">
        <v>85</v>
      </c>
      <c r="C4" s="2">
        <v>55900</v>
      </c>
      <c r="D4" s="3">
        <f>VLOOKUP(B4,'[1]元大(自己)'!$B$4:$D$14,3,0)</f>
        <v>169</v>
      </c>
      <c r="E4" s="2">
        <v>0</v>
      </c>
      <c r="F4" s="2">
        <f t="shared" ref="F4" si="0">C4*D4</f>
        <v>9447100</v>
      </c>
    </row>
    <row r="5" spans="2:6" x14ac:dyDescent="0.25">
      <c r="B5" s="7" t="s">
        <v>87</v>
      </c>
      <c r="C5" s="2">
        <v>226000</v>
      </c>
      <c r="D5" s="3">
        <f>VLOOKUP(B5,'[1]元大(自己)'!$B$4:$D$14,3,0)</f>
        <v>38.15</v>
      </c>
      <c r="E5" s="2">
        <f>2413000+745000+1317000</f>
        <v>4475000</v>
      </c>
      <c r="F5" s="2">
        <f t="shared" ref="F5:F12" si="1">C5*D5</f>
        <v>8621900</v>
      </c>
    </row>
    <row r="6" spans="2:6" x14ac:dyDescent="0.25">
      <c r="B6" s="7" t="s">
        <v>94</v>
      </c>
      <c r="C6" s="2">
        <v>32000</v>
      </c>
      <c r="D6" s="3">
        <f>VLOOKUP(B6,'[1]元大(自己)'!$B$4:$D$14,3,0)</f>
        <v>151</v>
      </c>
      <c r="E6" s="2">
        <v>2899000</v>
      </c>
      <c r="F6" s="2">
        <f t="shared" si="1"/>
        <v>4832000</v>
      </c>
    </row>
    <row r="7" spans="2:6" x14ac:dyDescent="0.25">
      <c r="B7" s="7" t="s">
        <v>98</v>
      </c>
      <c r="C7" s="2">
        <v>2187</v>
      </c>
      <c r="D7" s="3">
        <f>VLOOKUP(B7,'[1]元大(自己)'!$B$4:$D$14,3,0)</f>
        <v>605</v>
      </c>
      <c r="E7" s="2">
        <v>0</v>
      </c>
      <c r="F7" s="2">
        <f t="shared" ref="F7:F8" si="2">C7*D7</f>
        <v>1323135</v>
      </c>
    </row>
    <row r="8" spans="2:6" x14ac:dyDescent="0.25">
      <c r="B8" s="7" t="s">
        <v>104</v>
      </c>
      <c r="C8" s="2">
        <v>3000</v>
      </c>
      <c r="D8" s="3">
        <f>VLOOKUP(B8,'[1]元大(自己)'!$B$4:$D$14,3,0)</f>
        <v>329</v>
      </c>
      <c r="E8" s="2">
        <v>573000</v>
      </c>
      <c r="F8" s="2">
        <f t="shared" si="2"/>
        <v>987000</v>
      </c>
    </row>
    <row r="9" spans="2:6" x14ac:dyDescent="0.25">
      <c r="B9" s="7" t="s">
        <v>100</v>
      </c>
      <c r="C9" s="2">
        <v>58000</v>
      </c>
      <c r="D9" s="3">
        <f>VLOOKUP(B9,'[1]元大(自己)'!$B$4:$D$14,3,0)</f>
        <v>44.6</v>
      </c>
      <c r="E9" s="2">
        <f>924000+606000</f>
        <v>1530000</v>
      </c>
      <c r="F9" s="2">
        <f t="shared" ref="F9:F10" si="3">C9*D9</f>
        <v>2586800</v>
      </c>
    </row>
    <row r="10" spans="2:6" x14ac:dyDescent="0.25">
      <c r="B10" s="7" t="s">
        <v>101</v>
      </c>
      <c r="C10" s="2">
        <v>58000</v>
      </c>
      <c r="D10" s="3">
        <f>VLOOKUP(B10,'[1]元大(自己)'!$B$4:$D$14,3,0)</f>
        <v>45.7</v>
      </c>
      <c r="E10" s="2">
        <f>912000+690000</f>
        <v>1602000</v>
      </c>
      <c r="F10" s="2">
        <f t="shared" si="3"/>
        <v>2650600</v>
      </c>
    </row>
    <row r="11" spans="2:6" x14ac:dyDescent="0.25">
      <c r="B11" s="7" t="s">
        <v>92</v>
      </c>
      <c r="C11" s="2">
        <v>1246</v>
      </c>
      <c r="D11" s="3">
        <f>VLOOKUP(B11,'[1]元大(自己)'!$B$4:$D$14,3,0)</f>
        <v>2320</v>
      </c>
      <c r="E11" s="2">
        <v>0</v>
      </c>
      <c r="F11" s="2">
        <f t="shared" si="1"/>
        <v>2890720</v>
      </c>
    </row>
    <row r="12" spans="2:6" x14ac:dyDescent="0.25">
      <c r="B12" s="7" t="s">
        <v>88</v>
      </c>
      <c r="C12" s="2">
        <v>130000</v>
      </c>
      <c r="D12" s="3">
        <f>VLOOKUP(B12,'[1]元大(自己)'!$B$4:$D$14,3,0)</f>
        <v>43.4</v>
      </c>
      <c r="E12" s="2">
        <f>2408000+489000</f>
        <v>2897000</v>
      </c>
      <c r="F12" s="2">
        <f t="shared" si="1"/>
        <v>5642000</v>
      </c>
    </row>
    <row r="13" spans="2:6" x14ac:dyDescent="0.25">
      <c r="B13" s="7"/>
      <c r="C13" s="2"/>
      <c r="D13" s="32"/>
      <c r="E13" s="3"/>
      <c r="F13" s="3"/>
    </row>
    <row r="14" spans="2:6" x14ac:dyDescent="0.25">
      <c r="C14" s="85"/>
    </row>
    <row r="15" spans="2:6" x14ac:dyDescent="0.25">
      <c r="D15" s="4" t="s">
        <v>57</v>
      </c>
      <c r="E15" s="9">
        <f>SUM(E4:E12)</f>
        <v>13976000</v>
      </c>
      <c r="F15" s="9">
        <f>SUM(F4:F12)</f>
        <v>38981255</v>
      </c>
    </row>
    <row r="16" spans="2:6" ht="17.25" thickBot="1" x14ac:dyDescent="0.3"/>
    <row r="17" spans="2:13" x14ac:dyDescent="0.25">
      <c r="B17" s="138" t="s">
        <v>32</v>
      </c>
      <c r="C17" s="139"/>
      <c r="D17" s="5"/>
      <c r="E17" s="5"/>
      <c r="F17" s="5"/>
    </row>
    <row r="18" spans="2:13" x14ac:dyDescent="0.25">
      <c r="B18" s="72" t="s">
        <v>43</v>
      </c>
      <c r="C18" s="8">
        <v>38912</v>
      </c>
      <c r="E18" s="132">
        <v>31.9</v>
      </c>
      <c r="F18" s="5"/>
    </row>
    <row r="19" spans="2:13" x14ac:dyDescent="0.25">
      <c r="B19" s="72" t="s">
        <v>44</v>
      </c>
      <c r="C19" s="8">
        <v>-38409</v>
      </c>
      <c r="E19" s="5"/>
      <c r="F19" s="5"/>
    </row>
    <row r="20" spans="2:13" x14ac:dyDescent="0.25">
      <c r="B20" s="72" t="s">
        <v>45</v>
      </c>
      <c r="C20" s="8">
        <v>26</v>
      </c>
      <c r="E20" s="5"/>
      <c r="F20" s="5"/>
    </row>
    <row r="21" spans="2:13" ht="17.25" thickBot="1" x14ac:dyDescent="0.3">
      <c r="B21" s="73" t="s">
        <v>46</v>
      </c>
      <c r="C21" s="74">
        <f>SUM(C18:C20)</f>
        <v>529</v>
      </c>
      <c r="F21" s="129">
        <f>F24+期貨!C4</f>
        <v>25005784</v>
      </c>
    </row>
    <row r="22" spans="2:13" ht="17.25" thickBot="1" x14ac:dyDescent="0.3">
      <c r="B22" s="75" t="s">
        <v>33</v>
      </c>
      <c r="C22" s="76">
        <v>0</v>
      </c>
      <c r="F22" s="23"/>
    </row>
    <row r="24" spans="2:13" x14ac:dyDescent="0.25">
      <c r="D24" s="6" t="s">
        <v>47</v>
      </c>
      <c r="E24" s="6"/>
      <c r="F24" s="10">
        <f>F15+C21+C22-E15</f>
        <v>25005784</v>
      </c>
    </row>
    <row r="26" spans="2:13" x14ac:dyDescent="0.25">
      <c r="F26" s="129"/>
    </row>
    <row r="27" spans="2:13" x14ac:dyDescent="0.25">
      <c r="F27" s="23"/>
    </row>
    <row r="28" spans="2:13" x14ac:dyDescent="0.25">
      <c r="D28" s="121">
        <f>SUM(D29:D44)</f>
        <v>0.99969000000000019</v>
      </c>
      <c r="H28" s="23">
        <f>(F24+期貨!C4)*0.67</f>
        <v>16753875.280000001</v>
      </c>
      <c r="K28" t="s">
        <v>60</v>
      </c>
      <c r="L28" t="s">
        <v>61</v>
      </c>
      <c r="M28" t="s">
        <v>62</v>
      </c>
    </row>
    <row r="29" spans="2:13" x14ac:dyDescent="0.25">
      <c r="B29">
        <v>8299</v>
      </c>
      <c r="C29" t="s">
        <v>69</v>
      </c>
      <c r="D29" s="122">
        <v>0.2127</v>
      </c>
      <c r="F29" s="122">
        <v>0.2127</v>
      </c>
      <c r="G29">
        <v>2670</v>
      </c>
      <c r="H29" s="123">
        <f>$H$28*F29/G29</f>
        <v>1334.6626487101125</v>
      </c>
      <c r="I29">
        <v>1.3</v>
      </c>
      <c r="J29">
        <f>I29*G29</f>
        <v>3471</v>
      </c>
      <c r="K29">
        <v>1.3</v>
      </c>
      <c r="L29">
        <v>0</v>
      </c>
      <c r="M29">
        <v>0</v>
      </c>
    </row>
    <row r="30" spans="2:13" x14ac:dyDescent="0.25">
      <c r="B30">
        <v>2451</v>
      </c>
      <c r="C30" t="s">
        <v>70</v>
      </c>
      <c r="D30" s="122">
        <v>8.5079999999999989E-2</v>
      </c>
      <c r="F30" s="122">
        <v>8.5079999999999989E-2</v>
      </c>
      <c r="G30">
        <v>343.5</v>
      </c>
      <c r="H30" s="123">
        <f t="shared" ref="H30:H44" si="4">$H$28*F30/G30</f>
        <v>4149.6934754655022</v>
      </c>
      <c r="I30">
        <v>4</v>
      </c>
      <c r="J30">
        <f t="shared" ref="J30:J44" si="5">I30*G30</f>
        <v>1374</v>
      </c>
      <c r="K30">
        <v>4</v>
      </c>
      <c r="L30">
        <v>0</v>
      </c>
      <c r="M30">
        <v>0</v>
      </c>
    </row>
    <row r="31" spans="2:13" x14ac:dyDescent="0.25">
      <c r="B31">
        <v>5289</v>
      </c>
      <c r="C31" t="s">
        <v>63</v>
      </c>
      <c r="D31" s="122">
        <v>8.5079999999999989E-2</v>
      </c>
      <c r="F31" s="122">
        <v>8.5079999999999989E-2</v>
      </c>
      <c r="G31">
        <v>1760</v>
      </c>
      <c r="H31" s="123">
        <f t="shared" si="4"/>
        <v>809.89756183090901</v>
      </c>
      <c r="I31">
        <v>1</v>
      </c>
      <c r="J31">
        <f t="shared" si="5"/>
        <v>1760</v>
      </c>
      <c r="K31">
        <v>1</v>
      </c>
      <c r="L31">
        <v>0</v>
      </c>
      <c r="M31">
        <v>0</v>
      </c>
    </row>
    <row r="32" spans="2:13" x14ac:dyDescent="0.25">
      <c r="B32">
        <v>3135</v>
      </c>
      <c r="C32" t="s">
        <v>71</v>
      </c>
      <c r="D32" s="122">
        <v>4.2539999999999994E-2</v>
      </c>
      <c r="F32" s="122">
        <v>4.2539999999999994E-2</v>
      </c>
      <c r="G32">
        <v>194.5</v>
      </c>
      <c r="H32" s="123">
        <f t="shared" si="4"/>
        <v>3664.3180175383031</v>
      </c>
      <c r="I32">
        <v>4</v>
      </c>
      <c r="J32">
        <f t="shared" si="5"/>
        <v>778</v>
      </c>
      <c r="K32">
        <v>4</v>
      </c>
      <c r="L32">
        <v>0</v>
      </c>
      <c r="M32">
        <v>0</v>
      </c>
    </row>
    <row r="33" spans="2:13" x14ac:dyDescent="0.25">
      <c r="B33">
        <v>8271</v>
      </c>
      <c r="C33" t="s">
        <v>72</v>
      </c>
      <c r="D33" s="122">
        <v>4.2539999999999994E-2</v>
      </c>
      <c r="F33" s="122">
        <v>4.2539999999999994E-2</v>
      </c>
      <c r="G33">
        <v>256</v>
      </c>
      <c r="H33" s="123">
        <f t="shared" si="4"/>
        <v>2784.0228687937497</v>
      </c>
      <c r="I33">
        <v>3</v>
      </c>
      <c r="J33">
        <f t="shared" si="5"/>
        <v>768</v>
      </c>
      <c r="K33">
        <v>3</v>
      </c>
      <c r="L33">
        <v>0</v>
      </c>
      <c r="M33">
        <v>0</v>
      </c>
    </row>
    <row r="34" spans="2:13" x14ac:dyDescent="0.25">
      <c r="B34">
        <v>3036</v>
      </c>
      <c r="C34" t="s">
        <v>73</v>
      </c>
      <c r="D34" s="122">
        <v>8.5079999999999989E-2</v>
      </c>
      <c r="F34" s="122">
        <v>8.5079999999999989E-2</v>
      </c>
      <c r="G34">
        <v>264.5</v>
      </c>
      <c r="H34" s="123">
        <f t="shared" si="4"/>
        <v>5389.1104303304346</v>
      </c>
      <c r="I34">
        <v>5</v>
      </c>
      <c r="J34">
        <f t="shared" si="5"/>
        <v>1322.5</v>
      </c>
      <c r="K34">
        <v>5</v>
      </c>
      <c r="L34">
        <v>0</v>
      </c>
      <c r="M34">
        <v>0</v>
      </c>
    </row>
    <row r="35" spans="2:13" x14ac:dyDescent="0.25">
      <c r="B35">
        <v>2059</v>
      </c>
      <c r="C35" t="s">
        <v>74</v>
      </c>
      <c r="D35" s="122">
        <v>8.5079999999999989E-2</v>
      </c>
      <c r="F35" s="122">
        <v>8.5079999999999989E-2</v>
      </c>
      <c r="G35">
        <v>5520</v>
      </c>
      <c r="H35" s="123">
        <f t="shared" si="4"/>
        <v>258.22820811999998</v>
      </c>
      <c r="I35">
        <v>0.3</v>
      </c>
      <c r="J35">
        <f t="shared" si="5"/>
        <v>1656</v>
      </c>
      <c r="K35">
        <v>0.3</v>
      </c>
      <c r="L35">
        <v>0</v>
      </c>
      <c r="M35">
        <v>0</v>
      </c>
    </row>
    <row r="36" spans="2:13" x14ac:dyDescent="0.25">
      <c r="B36">
        <v>3055</v>
      </c>
      <c r="C36" t="s">
        <v>75</v>
      </c>
      <c r="D36" s="122">
        <v>2.1269999999999997E-2</v>
      </c>
      <c r="F36" s="122">
        <v>2.1269999999999997E-2</v>
      </c>
      <c r="G36">
        <v>100</v>
      </c>
      <c r="H36" s="123">
        <f t="shared" si="4"/>
        <v>3563.5492720559996</v>
      </c>
      <c r="I36">
        <v>4</v>
      </c>
      <c r="J36">
        <f t="shared" si="5"/>
        <v>400</v>
      </c>
      <c r="K36">
        <v>4</v>
      </c>
      <c r="L36">
        <v>0</v>
      </c>
      <c r="M36">
        <v>0</v>
      </c>
    </row>
    <row r="37" spans="2:13" x14ac:dyDescent="0.25">
      <c r="B37">
        <v>3209</v>
      </c>
      <c r="C37" t="s">
        <v>76</v>
      </c>
      <c r="D37" s="122">
        <v>2.1269999999999997E-2</v>
      </c>
      <c r="E37" s="121"/>
      <c r="F37" s="122">
        <v>2.1269999999999997E-2</v>
      </c>
      <c r="G37">
        <v>60.5</v>
      </c>
      <c r="H37" s="123">
        <f t="shared" si="4"/>
        <v>5890.1640860429743</v>
      </c>
      <c r="I37">
        <v>6</v>
      </c>
      <c r="J37">
        <f t="shared" si="5"/>
        <v>363</v>
      </c>
      <c r="K37">
        <v>6</v>
      </c>
      <c r="L37">
        <v>0</v>
      </c>
      <c r="M37">
        <v>0</v>
      </c>
    </row>
    <row r="38" spans="2:13" x14ac:dyDescent="0.25">
      <c r="B38">
        <v>4973</v>
      </c>
      <c r="C38" t="s">
        <v>77</v>
      </c>
      <c r="D38" s="122">
        <v>2.1269999999999997E-2</v>
      </c>
      <c r="E38" s="121"/>
      <c r="F38" s="122">
        <v>2.1269999999999997E-2</v>
      </c>
      <c r="G38">
        <v>109.5</v>
      </c>
      <c r="H38" s="123">
        <f t="shared" si="4"/>
        <v>3254.3828968547941</v>
      </c>
      <c r="I38">
        <v>3</v>
      </c>
      <c r="J38">
        <f t="shared" si="5"/>
        <v>328.5</v>
      </c>
      <c r="K38">
        <v>3</v>
      </c>
      <c r="L38">
        <v>0</v>
      </c>
      <c r="M38">
        <v>0</v>
      </c>
    </row>
    <row r="39" spans="2:13" x14ac:dyDescent="0.25">
      <c r="B39">
        <v>6166</v>
      </c>
      <c r="C39" t="s">
        <v>78</v>
      </c>
      <c r="D39" s="122">
        <v>4.2539999999999994E-2</v>
      </c>
      <c r="E39" s="121"/>
      <c r="F39" s="122">
        <v>4.2539999999999994E-2</v>
      </c>
      <c r="G39">
        <v>92.7</v>
      </c>
      <c r="H39" s="123">
        <f t="shared" si="4"/>
        <v>7688.3479440258889</v>
      </c>
      <c r="I39">
        <v>7</v>
      </c>
      <c r="J39">
        <f t="shared" si="5"/>
        <v>648.9</v>
      </c>
      <c r="K39">
        <v>7</v>
      </c>
      <c r="L39">
        <v>0</v>
      </c>
      <c r="M39">
        <v>0</v>
      </c>
    </row>
    <row r="40" spans="2:13" x14ac:dyDescent="0.25">
      <c r="B40">
        <v>6206</v>
      </c>
      <c r="C40" t="s">
        <v>79</v>
      </c>
      <c r="D40" s="122">
        <v>4.2539999999999994E-2</v>
      </c>
      <c r="E40" s="121"/>
      <c r="F40" s="122">
        <v>4.2539999999999994E-2</v>
      </c>
      <c r="G40">
        <v>130.5</v>
      </c>
      <c r="H40" s="123">
        <f t="shared" si="4"/>
        <v>5461.3781947218386</v>
      </c>
      <c r="I40">
        <v>5</v>
      </c>
      <c r="J40">
        <f t="shared" si="5"/>
        <v>652.5</v>
      </c>
      <c r="K40">
        <v>5</v>
      </c>
      <c r="L40">
        <v>0</v>
      </c>
      <c r="M40">
        <v>0</v>
      </c>
    </row>
    <row r="41" spans="2:13" x14ac:dyDescent="0.25">
      <c r="B41">
        <v>6274</v>
      </c>
      <c r="C41" t="s">
        <v>80</v>
      </c>
      <c r="D41" s="122">
        <v>8.5079999999999989E-2</v>
      </c>
      <c r="E41" s="121"/>
      <c r="F41" s="122">
        <v>8.5079999999999989E-2</v>
      </c>
      <c r="G41">
        <v>1455</v>
      </c>
      <c r="H41" s="123">
        <f t="shared" si="4"/>
        <v>979.66990297072152</v>
      </c>
      <c r="I41">
        <v>1</v>
      </c>
      <c r="J41">
        <f t="shared" si="5"/>
        <v>1455</v>
      </c>
      <c r="K41">
        <v>1</v>
      </c>
      <c r="L41">
        <v>0</v>
      </c>
      <c r="M41">
        <v>0</v>
      </c>
    </row>
    <row r="42" spans="2:13" x14ac:dyDescent="0.25">
      <c r="B42">
        <v>7610</v>
      </c>
      <c r="C42" t="s">
        <v>81</v>
      </c>
      <c r="D42" s="122">
        <v>4.2539999999999994E-2</v>
      </c>
      <c r="E42" s="121"/>
      <c r="F42" s="122">
        <v>4.2539999999999994E-2</v>
      </c>
      <c r="G42">
        <v>830</v>
      </c>
      <c r="H42" s="123">
        <f t="shared" si="4"/>
        <v>858.68657157975895</v>
      </c>
      <c r="I42">
        <v>1</v>
      </c>
      <c r="J42">
        <f t="shared" si="5"/>
        <v>830</v>
      </c>
      <c r="K42">
        <v>1</v>
      </c>
      <c r="L42">
        <v>0</v>
      </c>
      <c r="M42">
        <v>0</v>
      </c>
    </row>
    <row r="43" spans="2:13" x14ac:dyDescent="0.25">
      <c r="B43">
        <v>8227</v>
      </c>
      <c r="C43" t="s">
        <v>82</v>
      </c>
      <c r="D43" s="122">
        <v>4.2539999999999994E-2</v>
      </c>
      <c r="E43" s="121"/>
      <c r="F43" s="122">
        <v>4.2539999999999994E-2</v>
      </c>
      <c r="G43">
        <v>226</v>
      </c>
      <c r="H43" s="123">
        <f t="shared" si="4"/>
        <v>3153.5834265982298</v>
      </c>
      <c r="I43">
        <v>3</v>
      </c>
      <c r="J43">
        <f t="shared" si="5"/>
        <v>678</v>
      </c>
      <c r="K43">
        <v>3</v>
      </c>
      <c r="L43">
        <v>0</v>
      </c>
      <c r="M43">
        <v>0</v>
      </c>
    </row>
    <row r="44" spans="2:13" x14ac:dyDescent="0.25">
      <c r="B44">
        <v>6531</v>
      </c>
      <c r="C44" t="s">
        <v>83</v>
      </c>
      <c r="D44" s="122">
        <v>4.2539999999999994E-2</v>
      </c>
      <c r="F44" s="122">
        <v>4.2539999999999994E-2</v>
      </c>
      <c r="G44">
        <v>962</v>
      </c>
      <c r="H44" s="123">
        <f t="shared" si="4"/>
        <v>740.86263452307685</v>
      </c>
      <c r="I44">
        <v>1</v>
      </c>
      <c r="J44">
        <f t="shared" si="5"/>
        <v>962</v>
      </c>
      <c r="K44">
        <v>1</v>
      </c>
      <c r="L44">
        <v>0</v>
      </c>
      <c r="M44">
        <v>0</v>
      </c>
    </row>
    <row r="47" spans="2:13" x14ac:dyDescent="0.25">
      <c r="I47">
        <f>586.7-295</f>
        <v>291.70000000000005</v>
      </c>
    </row>
  </sheetData>
  <mergeCells count="2">
    <mergeCell ref="B17:C17"/>
    <mergeCell ref="B2:F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C141-113C-4CB6-925D-68A9D59E5CC2}">
  <sheetPr>
    <tabColor rgb="FFF8CBAD"/>
  </sheetPr>
  <dimension ref="B3:C6"/>
  <sheetViews>
    <sheetView workbookViewId="0">
      <selection activeCell="C5" sqref="C5"/>
    </sheetView>
  </sheetViews>
  <sheetFormatPr defaultRowHeight="16.5" x14ac:dyDescent="0.25"/>
  <cols>
    <col min="2" max="2" width="14.125" customWidth="1"/>
    <col min="3" max="3" width="15.25" customWidth="1"/>
  </cols>
  <sheetData>
    <row r="3" spans="2:3" x14ac:dyDescent="0.25">
      <c r="B3" s="142" t="s">
        <v>64</v>
      </c>
      <c r="C3" s="142"/>
    </row>
    <row r="4" spans="2:3" x14ac:dyDescent="0.25">
      <c r="B4" s="127" t="s">
        <v>65</v>
      </c>
      <c r="C4" s="128">
        <v>0</v>
      </c>
    </row>
    <row r="5" spans="2:3" x14ac:dyDescent="0.25">
      <c r="B5" s="127" t="s">
        <v>66</v>
      </c>
      <c r="C5" s="2">
        <v>0</v>
      </c>
    </row>
    <row r="6" spans="2:3" x14ac:dyDescent="0.25">
      <c r="B6" s="127" t="s">
        <v>67</v>
      </c>
      <c r="C6" s="128">
        <f>SUM(C4:C5)</f>
        <v>0</v>
      </c>
    </row>
  </sheetData>
  <mergeCells count="1">
    <mergeCell ref="B3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工作表1</vt:lpstr>
      <vt:lpstr>總表</vt:lpstr>
      <vt:lpstr>按股票分類</vt:lpstr>
      <vt:lpstr>帳戶</vt:lpstr>
      <vt:lpstr>期貨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a29375503@live.com</dc:creator>
  <cp:keywords/>
  <dc:description/>
  <cp:lastModifiedBy>宗霖 詹</cp:lastModifiedBy>
  <cp:revision/>
  <cp:lastPrinted>2026-07-07T06:02:10Z</cp:lastPrinted>
  <dcterms:created xsi:type="dcterms:W3CDTF">2019-03-23T06:10:25Z</dcterms:created>
  <dcterms:modified xsi:type="dcterms:W3CDTF">2026-09-15T05:35:33Z</dcterms:modified>
  <cp:category/>
  <cp:contentStatus/>
</cp:coreProperties>
</file>