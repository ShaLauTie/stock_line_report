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10\"/>
    </mc:Choice>
  </mc:AlternateContent>
  <xr:revisionPtr revIDLastSave="0" documentId="13_ncr:1_{4BE26EE8-48F5-4FFC-BB2B-D57FE3AC8F23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7" l="1"/>
  <c r="D12" i="2"/>
  <c r="F12" i="2" s="1"/>
  <c r="D5" i="17" s="1"/>
  <c r="D11" i="2"/>
  <c r="F11" i="2" s="1"/>
  <c r="D11" i="17" s="1"/>
  <c r="D10" i="2"/>
  <c r="F10" i="2" s="1"/>
  <c r="D10" i="17" s="1"/>
  <c r="D9" i="2"/>
  <c r="F9" i="2" s="1"/>
  <c r="D8" i="17" s="1"/>
  <c r="D8" i="2"/>
  <c r="F8" i="2" s="1"/>
  <c r="D7" i="17" s="1"/>
  <c r="D7" i="2"/>
  <c r="F7" i="2" s="1"/>
  <c r="D9" i="17" s="1"/>
  <c r="D6" i="2"/>
  <c r="F6" i="2" s="1"/>
  <c r="D3" i="17" s="1"/>
  <c r="D5" i="2"/>
  <c r="F5" i="2" s="1"/>
  <c r="D6" i="17" s="1"/>
  <c r="D4" i="2"/>
  <c r="F4" i="2" s="1"/>
  <c r="R193" i="36"/>
  <c r="Q193" i="36"/>
  <c r="P193" i="36"/>
  <c r="O193" i="36"/>
  <c r="R192" i="36"/>
  <c r="Q192" i="36"/>
  <c r="P192" i="36"/>
  <c r="O192" i="36"/>
  <c r="N192" i="36"/>
  <c r="R191" i="36"/>
  <c r="Q191" i="36"/>
  <c r="P191" i="36"/>
  <c r="O191" i="36"/>
  <c r="N191" i="36"/>
  <c r="R190" i="36"/>
  <c r="Q190" i="36"/>
  <c r="P190" i="36"/>
  <c r="O190" i="36"/>
  <c r="N190" i="36"/>
  <c r="R189" i="36"/>
  <c r="Q189" i="36"/>
  <c r="P189" i="36"/>
  <c r="O189" i="36"/>
  <c r="N189" i="36"/>
  <c r="R188" i="36"/>
  <c r="Q188" i="36"/>
  <c r="P188" i="36"/>
  <c r="O188" i="36"/>
  <c r="N188" i="36"/>
  <c r="R187" i="36"/>
  <c r="Q187" i="36"/>
  <c r="P187" i="36"/>
  <c r="O187" i="36"/>
  <c r="N187" i="36"/>
  <c r="R186" i="36"/>
  <c r="Q186" i="36"/>
  <c r="P186" i="36"/>
  <c r="O186" i="36"/>
  <c r="N186" i="36"/>
  <c r="R185" i="36"/>
  <c r="Q185" i="36"/>
  <c r="P185" i="36"/>
  <c r="O185" i="36"/>
  <c r="N185" i="36"/>
  <c r="R184" i="36"/>
  <c r="Q184" i="36"/>
  <c r="P184" i="36"/>
  <c r="O184" i="36"/>
  <c r="N184" i="36"/>
  <c r="C190" i="36"/>
  <c r="E190" i="36"/>
  <c r="F9" i="17"/>
  <c r="F7" i="17"/>
  <c r="F3" i="17"/>
  <c r="F12" i="17" s="1"/>
  <c r="I12" i="17"/>
  <c r="G12" i="17"/>
  <c r="F4" i="17"/>
  <c r="F6" i="17"/>
  <c r="F5" i="17"/>
  <c r="F11" i="17"/>
  <c r="F10" i="17"/>
  <c r="D18" i="17"/>
  <c r="H18" i="17"/>
  <c r="J18" i="17" s="1"/>
  <c r="D17" i="17"/>
  <c r="H17" i="17" s="1"/>
  <c r="J17" i="17" s="1"/>
  <c r="C21" i="2"/>
  <c r="D16" i="17" s="1"/>
  <c r="H16" i="17" s="1"/>
  <c r="J16" i="17" s="1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5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 s="1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 s="1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4" i="17"/>
  <c r="H13" i="17"/>
  <c r="J13" i="17"/>
  <c r="O13" i="17"/>
  <c r="D14" i="17"/>
  <c r="G14" i="17"/>
  <c r="H14" i="17" s="1"/>
  <c r="J14" i="17" s="1"/>
  <c r="S7" i="36"/>
  <c r="T7" i="36"/>
  <c r="B3" i="36"/>
  <c r="O150" i="36"/>
  <c r="O72" i="36"/>
  <c r="O97" i="36"/>
  <c r="O149" i="36"/>
  <c r="O32" i="36"/>
  <c r="O98" i="36"/>
  <c r="O140" i="36"/>
  <c r="O75" i="36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01" i="36"/>
  <c r="P24" i="36"/>
  <c r="P70" i="36"/>
  <c r="P175" i="36"/>
  <c r="P89" i="36"/>
  <c r="P23" i="36"/>
  <c r="P33" i="36"/>
  <c r="P174" i="36"/>
  <c r="P143" i="36"/>
  <c r="P62" i="36"/>
  <c r="P157" i="36"/>
  <c r="P75" i="36"/>
  <c r="P60" i="36"/>
  <c r="P166" i="36"/>
  <c r="P59" i="36"/>
  <c r="P177" i="36"/>
  <c r="P155" i="36"/>
  <c r="P120" i="36"/>
  <c r="P31" i="36"/>
  <c r="P149" i="36"/>
  <c r="P78" i="36"/>
  <c r="P92" i="36"/>
  <c r="P74" i="36"/>
  <c r="P137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182" i="36"/>
  <c r="P88" i="36"/>
  <c r="P123" i="36"/>
  <c r="P52" i="36"/>
  <c r="P64" i="36"/>
  <c r="P129" i="36"/>
  <c r="P138" i="36"/>
  <c r="P142" i="36"/>
  <c r="P68" i="36"/>
  <c r="P116" i="36"/>
  <c r="P146" i="36"/>
  <c r="P81" i="36"/>
  <c r="P27" i="36"/>
  <c r="P79" i="36"/>
  <c r="P84" i="36"/>
  <c r="P172" i="36"/>
  <c r="P141" i="36"/>
  <c r="P65" i="36"/>
  <c r="P176" i="36"/>
  <c r="P47" i="36"/>
  <c r="P160" i="36"/>
  <c r="P108" i="36"/>
  <c r="P76" i="36"/>
  <c r="P21" i="36"/>
  <c r="P130" i="36"/>
  <c r="P161" i="36"/>
  <c r="P115" i="36"/>
  <c r="P95" i="36"/>
  <c r="P150" i="36"/>
  <c r="P8" i="36"/>
  <c r="P91" i="36"/>
  <c r="P93" i="36"/>
  <c r="P45" i="36"/>
  <c r="P87" i="36"/>
  <c r="P61" i="36"/>
  <c r="P22" i="36"/>
  <c r="P71" i="36"/>
  <c r="P165" i="36"/>
  <c r="P94" i="36"/>
  <c r="P102" i="36"/>
  <c r="P17" i="36"/>
  <c r="P28" i="36"/>
  <c r="P11" i="36"/>
  <c r="P43" i="36"/>
  <c r="P118" i="36"/>
  <c r="P170" i="36"/>
  <c r="P36" i="36"/>
  <c r="P105" i="36"/>
  <c r="P104" i="36"/>
  <c r="P16" i="36"/>
  <c r="P152" i="36"/>
  <c r="P125" i="36"/>
  <c r="P30" i="36"/>
  <c r="P151" i="36"/>
  <c r="P42" i="36"/>
  <c r="P139" i="36"/>
  <c r="P19" i="36"/>
  <c r="P90" i="36"/>
  <c r="P180" i="36"/>
  <c r="P82" i="36"/>
  <c r="P41" i="36"/>
  <c r="P100" i="36"/>
  <c r="P122" i="36"/>
  <c r="P181" i="36"/>
  <c r="P183" i="36"/>
  <c r="P171" i="36"/>
  <c r="P109" i="36"/>
  <c r="P133" i="36"/>
  <c r="P168" i="36"/>
  <c r="P163" i="36"/>
  <c r="P46" i="36"/>
  <c r="P35" i="36"/>
  <c r="P66" i="36"/>
  <c r="P85" i="36"/>
  <c r="P121" i="36"/>
  <c r="P98" i="36"/>
  <c r="P54" i="36"/>
  <c r="P167" i="36"/>
  <c r="P9" i="36"/>
  <c r="P178" i="36"/>
  <c r="P49" i="36"/>
  <c r="P69" i="36"/>
  <c r="P162" i="36"/>
  <c r="P106" i="36"/>
  <c r="P179" i="36"/>
  <c r="P44" i="36"/>
  <c r="P112" i="36"/>
  <c r="P37" i="36"/>
  <c r="P80" i="36"/>
  <c r="P145" i="36"/>
  <c r="P83" i="36"/>
  <c r="P67" i="36"/>
  <c r="P18" i="36"/>
  <c r="P58" i="36"/>
  <c r="P26" i="36"/>
  <c r="P25" i="36"/>
  <c r="P57" i="36"/>
  <c r="H8" i="17" l="1"/>
  <c r="J8" i="17" s="1"/>
  <c r="O8" i="17"/>
  <c r="G20" i="17"/>
  <c r="S190" i="36"/>
  <c r="P110" i="36"/>
  <c r="P50" i="36"/>
  <c r="P32" i="36"/>
  <c r="P39" i="36"/>
  <c r="P132" i="36"/>
  <c r="P10" i="36"/>
  <c r="P111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H5" i="17"/>
  <c r="J5" i="17" s="1"/>
  <c r="O5" i="17"/>
  <c r="H11" i="17"/>
  <c r="J11" i="17" s="1"/>
  <c r="O11" i="17"/>
  <c r="O10" i="17"/>
  <c r="H10" i="17"/>
  <c r="J10" i="17" s="1"/>
  <c r="H7" i="17"/>
  <c r="J7" i="17" s="1"/>
  <c r="O7" i="17"/>
  <c r="H9" i="17"/>
  <c r="J9" i="17" s="1"/>
  <c r="O9" i="17"/>
  <c r="H3" i="17"/>
  <c r="J3" i="17" s="1"/>
  <c r="O3" i="17"/>
  <c r="O6" i="17"/>
  <c r="H6" i="17"/>
  <c r="J6" i="17" s="1"/>
  <c r="D4" i="17"/>
  <c r="F15" i="2"/>
  <c r="F24" i="2" s="1"/>
  <c r="H4" i="17" l="1"/>
  <c r="D12" i="17"/>
  <c r="O4" i="17"/>
  <c r="O12" i="17" s="1"/>
  <c r="H28" i="2"/>
  <c r="F21" i="2"/>
  <c r="J4" i="17" l="1"/>
  <c r="H12" i="17"/>
  <c r="J12" i="17" s="1"/>
  <c r="D19" i="17"/>
  <c r="D20" i="17"/>
  <c r="E8" i="17" s="1"/>
  <c r="K193" i="36"/>
  <c r="H40" i="2"/>
  <c r="H43" i="2"/>
  <c r="H29" i="2"/>
  <c r="H38" i="2"/>
  <c r="H33" i="2"/>
  <c r="H39" i="2"/>
  <c r="H36" i="2"/>
  <c r="H32" i="2"/>
  <c r="H42" i="2"/>
  <c r="H44" i="2"/>
  <c r="H30" i="2"/>
  <c r="H41" i="2"/>
  <c r="H31" i="2"/>
  <c r="H35" i="2"/>
  <c r="H34" i="2"/>
  <c r="H37" i="2"/>
  <c r="E18" i="17" l="1"/>
  <c r="E20" i="17"/>
  <c r="E4" i="17"/>
  <c r="E17" i="17"/>
  <c r="E6" i="17"/>
  <c r="B2" i="36"/>
  <c r="E11" i="17"/>
  <c r="D22" i="17"/>
  <c r="D23" i="17" s="1"/>
  <c r="E3" i="17"/>
  <c r="H20" i="17"/>
  <c r="J20" i="17" s="1"/>
  <c r="E16" i="17"/>
  <c r="E10" i="17"/>
  <c r="E5" i="17"/>
  <c r="E13" i="17"/>
  <c r="B193" i="36"/>
  <c r="E193" i="36" s="1"/>
  <c r="E2" i="36"/>
  <c r="E7" i="17"/>
  <c r="E9" i="17"/>
  <c r="T193" i="36" l="1"/>
  <c r="C193" i="36"/>
  <c r="N193" i="36" s="1"/>
  <c r="E12" i="17"/>
  <c r="S193" i="36" l="1"/>
  <c r="D15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<sst xmlns="http://schemas.openxmlformats.org/spreadsheetml/2006/main" count="121" uniqueCount="106">
  <si>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</si>
  <si>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</si>
  <si>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</si>
  <si>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</si>
  <si>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</si>
  <si>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</si>
  <si>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</si>
  <si>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</si>
  <si>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</si>
  <si>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</si>
  <si>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</si>
  <si>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</si>
  <si>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</si>
  <si>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</si>
  <si>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</si>
  <si>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</si>
  <si>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</si>
  <si>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</si>
  <si>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</si>
  <si>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</si>
  <si>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</si>
  <si>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</si>
  <si>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</si>
  <si>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</si>
  <si>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</si>
  <si>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</si>
  <si>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</si>
  <si>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</si>
  <si>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</si>
  <si>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</si>
  <si>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</si>
  <si>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</si>
  <si>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</si>
  <si>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</si>
  <si>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</si>
  <si>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</si>
  <si>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</si>
  <si>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</si>
  <si>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</si>
  <si>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</si>
  <si>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</si>
  <si>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</si>
  <si>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</si>
  <si>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</si>
  <si>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</si>
  <si>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</si>
  <si>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</si>
  <si>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</si>
  <si>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</si>
  <si>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</si>
  <si>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</si>
  <si>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</si>
  <si>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</si>
  <si>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</si>
  <si>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</si>
  <si>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</si>
  <si>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</si>
  <si>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</si>
  <si>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</si>
  <si>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</si>
  <si>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</si>
  <si>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</si>
  <si>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</si>
  <si>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</si>
  <si>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</si>
  <si>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</si>
  <si>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</si>
  <si>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</si>
  <si>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</si>
  <si>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</si>
  <si>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</si>
  <si>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</si>
  <si>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</si>
  <si>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</si>
  <si>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</si>
  <si>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</si>
  <si>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</si>
  <si>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</si>
  <si>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</si>
  <si>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</si>
  <si>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</si>
  <si>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</si>
  <si>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</si>
  <si>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</si>
  <si>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</si>
  <si>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</si>
  <si>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</si>
  <si>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</si>
  <si>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</si>
  <si>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</si>
  <si>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</si>
  <si>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</si>
  <si>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</si>
  <si>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</si>
  <si>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</si>
  <si>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</si>
  <si>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</si>
  <si>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</si>
  <si>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</si>
  <si>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</si>
  <si>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</si>
  <si>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</si>
  <si>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</si>
  <si>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</si>
  <si>
    <t>萬潤</t>
    <phoneticPr fontId="1" type="noConversion"/>
  </si>
  <si>
    <t>萬潤(6187)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</si>
</sst>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總表!$A$7:$A$197</c:f>
              <c:numCache>
                <c:formatCode>m/d/yyyy</c:formatCode>
                <c:ptCount val="191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</c:numCache>
            </c:numRef>
          </c:cat>
          <c:val>
            <c:numRef>
              <c:f>總表!$N$7:$N$197</c:f>
              <c:numCache>
                <c:formatCode>0.0%</c:formatCode>
                <c:ptCount val="191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1.302048646365173</c:v>
                </c:pt>
                <c:pt idx="184">
                  <c:v>1.2755221370605243</c:v>
                </c:pt>
                <c:pt idx="185">
                  <c:v>1.267339102143151</c:v>
                </c:pt>
                <c:pt idx="186">
                  <c:v>1.2290324925668616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總表!$A$7:$A$197</c:f>
              <c:numCache>
                <c:formatCode>m/d/yyyy</c:formatCode>
                <c:ptCount val="191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</c:numCache>
            </c:numRef>
          </c:cat>
          <c:val>
            <c:numRef>
              <c:f>總表!$Q$7:$Q$197</c:f>
              <c:numCache>
                <c:formatCode>0.0%</c:formatCode>
                <c:ptCount val="191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0.74806883988372541</c:v>
                </c:pt>
                <c:pt idx="184">
                  <c:v>0.74750333732993579</c:v>
                </c:pt>
                <c:pt idx="185">
                  <c:v>0.73020839687081529</c:v>
                </c:pt>
                <c:pt idx="186">
                  <c:v>0.72986235519144116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總表!$A$7:$A$197</c:f>
              <c:numCache>
                <c:formatCode>m/d/yyyy</c:formatCode>
                <c:ptCount val="191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</c:numCache>
            </c:numRef>
          </c:cat>
          <c:val>
            <c:numRef>
              <c:f>總表!$R$7:$R$197</c:f>
              <c:numCache>
                <c:formatCode>0.0%</c:formatCode>
                <c:ptCount val="191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0.58768401656396763</c:v>
                </c:pt>
                <c:pt idx="184">
                  <c:v>0.58621782805967793</c:v>
                </c:pt>
                <c:pt idx="185">
                  <c:v>0.5724079174179233</c:v>
                </c:pt>
                <c:pt idx="186">
                  <c:v>0.57681065958669331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193</xdr:row>
      <xdr:rowOff>185464</xdr:rowOff>
    </xdr:from>
    <xdr:to>
      <xdr:col>20</xdr:col>
      <xdr:colOff>39252</xdr:colOff>
      <xdr:row>214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10/&#32929;&#31080;&#32317;&#37096;&#20301;&#24115;20261012.xlsx" TargetMode="External"/><Relationship Id="rId2" Type="http://schemas.openxmlformats.org/officeDocument/2006/relationships/externalLinkPath" Target="file:///C:\Users\PPP\Desktop\&#35352;&#24115;&#26032;\&#33258;&#24049;\202610\&#32929;&#31080;&#32317;&#37096;&#20301;&#24115;20261012.xlsx" TargetMode="External"/><Relationship Id="rId1" Type="http://schemas.openxmlformats.org/officeDocument/2006/relationships/externalLinkPath" Target="/Users/PPP/Desktop/&#35352;&#24115;&#26032;/&#33258;&#24049;/202610/&#32929;&#31080;&#32317;&#37096;&#20301;&#24115;20261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2275</v>
          </cell>
        </row>
        <row r="5">
          <cell r="B5" t="str">
            <v>富邦科技0052</v>
          </cell>
          <cell r="C5">
            <v>0</v>
          </cell>
          <cell r="D5">
            <v>66.8</v>
          </cell>
        </row>
        <row r="6">
          <cell r="B6" t="str">
            <v>台灣50正2</v>
          </cell>
          <cell r="C6">
            <v>0</v>
          </cell>
          <cell r="D6">
            <v>40.89</v>
          </cell>
        </row>
        <row r="7">
          <cell r="B7" t="str">
            <v>騰雲</v>
          </cell>
          <cell r="C7">
            <v>0</v>
          </cell>
          <cell r="D7">
            <v>316.5</v>
          </cell>
        </row>
        <row r="8">
          <cell r="B8" t="str">
            <v>南亞</v>
          </cell>
          <cell r="C8">
            <v>0</v>
          </cell>
          <cell r="D8">
            <v>303.5</v>
          </cell>
        </row>
        <row r="9">
          <cell r="B9" t="str">
            <v>聯茂</v>
          </cell>
          <cell r="D9">
            <v>813</v>
          </cell>
        </row>
        <row r="10">
          <cell r="B10" t="str">
            <v>仲恩生醫</v>
          </cell>
          <cell r="C10">
            <v>0</v>
          </cell>
          <cell r="D10">
            <v>183</v>
          </cell>
        </row>
        <row r="11">
          <cell r="B11" t="str">
            <v>萬潤</v>
          </cell>
          <cell r="C11">
            <v>0</v>
          </cell>
          <cell r="D11">
            <v>1675</v>
          </cell>
        </row>
        <row r="12">
          <cell r="B12" t="str">
            <v>萬潤永豐65購01</v>
          </cell>
          <cell r="C12">
            <v>0</v>
          </cell>
          <cell r="D12">
            <v>1.91</v>
          </cell>
        </row>
        <row r="13">
          <cell r="B13" t="str">
            <v>高力</v>
          </cell>
          <cell r="C13">
            <v>0</v>
          </cell>
          <cell r="D13">
            <v>1730</v>
          </cell>
        </row>
        <row r="14">
          <cell r="B14" t="str">
            <v>仁新</v>
          </cell>
          <cell r="C14">
            <v>38004</v>
          </cell>
          <cell r="D14">
            <v>172</v>
          </cell>
        </row>
        <row r="15">
          <cell r="B15" t="str">
            <v>SPCX</v>
          </cell>
          <cell r="C15">
            <v>0</v>
          </cell>
          <cell r="D15">
            <v>164.8</v>
          </cell>
        </row>
        <row r="16">
          <cell r="B16" t="str">
            <v>SPAL</v>
          </cell>
          <cell r="C16">
            <v>0</v>
          </cell>
          <cell r="D16">
            <v>20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4"/>
  <sheetViews>
    <sheetView tabSelected="1" topLeftCell="A2" zoomScale="70" zoomScaleNormal="70" workbookViewId="0">
      <pane xSplit="1" ySplit="5" topLeftCell="B168" activePane="bottomRight" state="frozen"/>
      <selection activeCell="A2" sqref="A2"/>
      <selection pane="topRight" activeCell="B5" sqref="B5"/>
      <selection pane="bottomLeft" activeCell="B5" sqref="B5"/>
      <selection pane="bottomRight" activeCell="K184" sqref="K184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按股票分類!D20</f>
        <v>27596247</v>
      </c>
      <c r="C2" s="35"/>
      <c r="D2" s="35"/>
      <c r="E2" s="36">
        <f>按股票分類!D12/按股票分類!D20</f>
        <v>1.6283720029031483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46307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6.5" x14ac:dyDescent="0.2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6.5" x14ac:dyDescent="0.2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6.5" x14ac:dyDescent="0.2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6.5" x14ac:dyDescent="0.2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6.5" x14ac:dyDescent="0.2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6.5" x14ac:dyDescent="0.2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93" si="339">C184/C$7-1</f>
        <v>1.4360282447132033</v>
      </c>
      <c r="O184" s="61" t="e">
        <f t="shared" ref="O184:O193" si="340">G184/G$7-1</f>
        <v>#REF!</v>
      </c>
      <c r="P184" s="61" t="e">
        <f t="shared" ref="P184:P193" si="341">J184/J$7-1</f>
        <v>#REF!</v>
      </c>
      <c r="Q184" s="61">
        <f t="shared" ref="Q184:Q193" si="342">L184/L$7-1</f>
        <v>0.68497411008834108</v>
      </c>
      <c r="R184" s="61">
        <f t="shared" ref="R184:R193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6.5" x14ac:dyDescent="0.2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6.5" x14ac:dyDescent="0.2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9"/>
        <v>1.2547651645306237</v>
      </c>
      <c r="O186" s="61" t="e">
        <f t="shared" si="340"/>
        <v>#REF!</v>
      </c>
      <c r="P186" s="61" t="e">
        <f t="shared" si="341"/>
        <v>#REF!</v>
      </c>
      <c r="Q186" s="61">
        <f t="shared" si="342"/>
        <v>0.68201231511920479</v>
      </c>
      <c r="R186" s="61">
        <f t="shared" si="343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6.5" x14ac:dyDescent="0.2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si="339"/>
        <v>1.2315317312810521</v>
      </c>
      <c r="O187" s="61" t="e">
        <f t="shared" si="340"/>
        <v>#REF!</v>
      </c>
      <c r="P187" s="61" t="e">
        <f t="shared" si="341"/>
        <v>#REF!</v>
      </c>
      <c r="Q187" s="61">
        <f t="shared" si="342"/>
        <v>0.69652404834887527</v>
      </c>
      <c r="R187" s="61">
        <f t="shared" si="343"/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6.5" x14ac:dyDescent="0.2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39"/>
        <v>1.258712946382055</v>
      </c>
      <c r="O188" s="61" t="e">
        <f t="shared" si="340"/>
        <v>#REF!</v>
      </c>
      <c r="P188" s="61" t="e">
        <f t="shared" si="341"/>
        <v>#REF!</v>
      </c>
      <c r="Q188" s="61">
        <f t="shared" si="342"/>
        <v>0.70081334045863541</v>
      </c>
      <c r="R188" s="61">
        <f t="shared" si="343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6.5" x14ac:dyDescent="0.2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f t="shared" si="339"/>
        <v>1.2767809847363205</v>
      </c>
      <c r="O189" s="61" t="e">
        <f t="shared" si="340"/>
        <v>#REF!</v>
      </c>
      <c r="P189" s="61" t="e">
        <f t="shared" si="341"/>
        <v>#REF!</v>
      </c>
      <c r="Q189" s="61">
        <f t="shared" si="342"/>
        <v>0.74418998093951427</v>
      </c>
      <c r="R189" s="61">
        <f t="shared" si="343"/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6.5" x14ac:dyDescent="0.25">
      <c r="A190" s="55">
        <v>46301</v>
      </c>
      <c r="B190" s="56">
        <v>28500214</v>
      </c>
      <c r="C190" s="79">
        <f>B190/D190</f>
        <v>23.020486463651732</v>
      </c>
      <c r="D190" s="58">
        <v>1238037</v>
      </c>
      <c r="E190" s="58">
        <f>B190-B189</f>
        <v>312823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v>43815120</v>
      </c>
      <c r="L190" s="60">
        <v>115208.19</v>
      </c>
      <c r="M190" s="60">
        <v>801.32</v>
      </c>
      <c r="N190" s="61">
        <f t="shared" si="339"/>
        <v>1.302048646365173</v>
      </c>
      <c r="O190" s="61" t="e">
        <f t="shared" si="340"/>
        <v>#REF!</v>
      </c>
      <c r="P190" s="61" t="e">
        <f t="shared" si="341"/>
        <v>#REF!</v>
      </c>
      <c r="Q190" s="61">
        <f t="shared" si="342"/>
        <v>0.74806883988372541</v>
      </c>
      <c r="R190" s="61">
        <f t="shared" si="343"/>
        <v>0.58768401656396763</v>
      </c>
      <c r="S190" s="83">
        <f>C190/MAX($C$7:C190)-1</f>
        <v>-5.4999197418502677E-2</v>
      </c>
      <c r="T190" s="62">
        <v>1.5383866712984917</v>
      </c>
      <c r="U190" s="62">
        <v>0</v>
      </c>
    </row>
    <row r="191" spans="1:21" ht="16.5" x14ac:dyDescent="0.25">
      <c r="A191" s="55">
        <v>46302</v>
      </c>
      <c r="B191" s="56">
        <v>28171806</v>
      </c>
      <c r="C191" s="79">
        <v>22.755221370605241</v>
      </c>
      <c r="D191" s="58">
        <v>1238037</v>
      </c>
      <c r="E191" s="58">
        <v>-328408</v>
      </c>
      <c r="F191" s="58">
        <v>16182750.353</v>
      </c>
      <c r="G191" s="79" t="e">
        <v>#REF!</v>
      </c>
      <c r="H191" s="58" t="e">
        <v>#REF!</v>
      </c>
      <c r="I191" s="59">
        <v>5551891.5239139982</v>
      </c>
      <c r="J191" s="79">
        <v>3.387033201567561</v>
      </c>
      <c r="K191" s="59">
        <v>43505712</v>
      </c>
      <c r="L191" s="60">
        <v>115170.92</v>
      </c>
      <c r="M191" s="60">
        <v>800.58</v>
      </c>
      <c r="N191" s="61">
        <f t="shared" si="339"/>
        <v>1.2755221370605243</v>
      </c>
      <c r="O191" s="61" t="e">
        <f t="shared" si="340"/>
        <v>#REF!</v>
      </c>
      <c r="P191" s="61" t="e">
        <f t="shared" si="341"/>
        <v>#REF!</v>
      </c>
      <c r="Q191" s="61">
        <f t="shared" si="342"/>
        <v>0.74750333732993579</v>
      </c>
      <c r="R191" s="61">
        <f t="shared" si="343"/>
        <v>0.58621782805967793</v>
      </c>
      <c r="S191" s="83">
        <v>-6.5888442796596447E-2</v>
      </c>
      <c r="T191" s="62">
        <v>1.5442997158222658</v>
      </c>
      <c r="U191" s="62">
        <v>0</v>
      </c>
    </row>
    <row r="192" spans="1:21" ht="16.5" x14ac:dyDescent="0.25">
      <c r="A192" s="55">
        <v>46303</v>
      </c>
      <c r="B192" s="56">
        <v>28070497</v>
      </c>
      <c r="C192" s="79">
        <v>22.67339102143151</v>
      </c>
      <c r="D192" s="58">
        <v>1238037</v>
      </c>
      <c r="E192" s="58">
        <v>-101309</v>
      </c>
      <c r="F192" s="58">
        <v>16182750.353</v>
      </c>
      <c r="G192" s="79" t="e">
        <v>#REF!</v>
      </c>
      <c r="H192" s="58" t="e">
        <v>#REF!</v>
      </c>
      <c r="I192" s="59">
        <v>5551891.5239139982</v>
      </c>
      <c r="J192" s="79">
        <v>3.387033201567561</v>
      </c>
      <c r="K192" s="59">
        <v>43461470</v>
      </c>
      <c r="L192" s="60">
        <v>114031.08</v>
      </c>
      <c r="M192" s="60">
        <v>793.61</v>
      </c>
      <c r="N192" s="61">
        <f t="shared" si="339"/>
        <v>1.267339102143151</v>
      </c>
      <c r="O192" s="61" t="e">
        <f t="shared" si="340"/>
        <v>#REF!</v>
      </c>
      <c r="P192" s="61" t="e">
        <f t="shared" si="341"/>
        <v>#REF!</v>
      </c>
      <c r="Q192" s="61">
        <f t="shared" si="342"/>
        <v>0.73020839687081529</v>
      </c>
      <c r="R192" s="61">
        <f t="shared" si="343"/>
        <v>0.5724079174179233</v>
      </c>
      <c r="S192" s="83">
        <v>-6.9247613584181744E-2</v>
      </c>
      <c r="T192" s="62">
        <v>1.5482971320386667</v>
      </c>
      <c r="U192" s="62">
        <v>0</v>
      </c>
    </row>
    <row r="193" spans="1:23" ht="17.100000000000001" customHeight="1" x14ac:dyDescent="0.25">
      <c r="A193" s="55">
        <v>46307</v>
      </c>
      <c r="B193" s="56">
        <f>按股票分類!D20</f>
        <v>27596247</v>
      </c>
      <c r="C193" s="79">
        <f>B193/D193</f>
        <v>22.290324925668617</v>
      </c>
      <c r="D193" s="58">
        <v>1238037</v>
      </c>
      <c r="E193" s="58">
        <f>B193-B192</f>
        <v>-474250</v>
      </c>
      <c r="F193" s="58">
        <v>16182750.353</v>
      </c>
      <c r="G193" s="79" t="e">
        <v>#REF!</v>
      </c>
      <c r="H193" s="58" t="e">
        <v>#REF!</v>
      </c>
      <c r="I193" s="59">
        <v>5551891.5239139982</v>
      </c>
      <c r="J193" s="79">
        <v>3.387033201567561</v>
      </c>
      <c r="K193" s="59">
        <f>按股票分類!D12</f>
        <v>44936956</v>
      </c>
      <c r="L193" s="60">
        <v>114008.273784</v>
      </c>
      <c r="M193" s="60">
        <v>795.83210799999995</v>
      </c>
      <c r="N193" s="61">
        <f t="shared" si="339"/>
        <v>1.2290324925668616</v>
      </c>
      <c r="O193" s="61" t="e">
        <f t="shared" si="340"/>
        <v>#REF!</v>
      </c>
      <c r="P193" s="61" t="e">
        <f t="shared" si="341"/>
        <v>#REF!</v>
      </c>
      <c r="Q193" s="61">
        <f t="shared" si="342"/>
        <v>0.72986235519144116</v>
      </c>
      <c r="R193" s="61">
        <f t="shared" si="343"/>
        <v>0.57681065958669331</v>
      </c>
      <c r="S193" s="83">
        <f>C193/MAX($C$7:C193)-1</f>
        <v>-8.4972640442726677E-2</v>
      </c>
      <c r="T193" s="62">
        <f>K193/B193</f>
        <v>1.6283720029031483</v>
      </c>
      <c r="U193" s="62">
        <v>0</v>
      </c>
    </row>
    <row r="194" spans="1:23" ht="16.5" x14ac:dyDescent="0.25">
      <c r="A194" s="55"/>
      <c r="B194" s="56"/>
      <c r="C194" s="61"/>
      <c r="D194" s="56"/>
      <c r="F194" s="58"/>
      <c r="G194" s="58"/>
      <c r="H194" s="58"/>
      <c r="I194" s="59"/>
      <c r="J194" s="59"/>
      <c r="K194" s="59"/>
      <c r="L194" s="60"/>
      <c r="M194" s="84"/>
      <c r="N194" s="61"/>
      <c r="O194" s="61"/>
      <c r="P194" s="61"/>
      <c r="Q194" s="61"/>
      <c r="R194" s="61"/>
      <c r="S194" s="61"/>
      <c r="T194" s="62"/>
      <c r="U194" s="62"/>
    </row>
    <row r="195" spans="1:23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3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3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3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3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3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58"/>
      <c r="R200" s="61"/>
      <c r="S200" s="61"/>
      <c r="T200" s="62"/>
      <c r="U200" s="62"/>
    </row>
    <row r="201" spans="1:23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58"/>
      <c r="R201" s="82"/>
      <c r="S201" s="61"/>
      <c r="T201" s="62"/>
      <c r="U201" s="62"/>
    </row>
    <row r="202" spans="1:23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58"/>
      <c r="R202" s="61"/>
      <c r="S202" s="61"/>
      <c r="T202" s="62"/>
      <c r="U202" s="62"/>
    </row>
    <row r="203" spans="1:23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58"/>
      <c r="R203" s="61" t="s">
        <v>21</v>
      </c>
      <c r="S203" s="61"/>
      <c r="T203" s="62"/>
      <c r="U203" s="62"/>
    </row>
    <row r="204" spans="1:23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58"/>
      <c r="R205" s="61"/>
      <c r="S205" s="61"/>
      <c r="T205" s="62"/>
      <c r="U205" s="62"/>
    </row>
    <row r="206" spans="1:23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58"/>
      <c r="R206" s="61"/>
      <c r="S206" s="61"/>
      <c r="T206" s="62"/>
      <c r="U206" s="62"/>
    </row>
    <row r="207" spans="1:23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  <c r="W208" s="103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59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59"/>
      <c r="J288" s="59"/>
      <c r="K288" s="59"/>
      <c r="L288" s="60"/>
      <c r="M288" s="60"/>
      <c r="N288" s="61"/>
      <c r="O288" s="61"/>
      <c r="P288" s="61"/>
      <c r="Q288" s="61"/>
      <c r="R288" s="61"/>
      <c r="S288" s="61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59"/>
      <c r="J289" s="59"/>
      <c r="K289" s="59"/>
      <c r="L289" s="60"/>
      <c r="M289" s="60"/>
      <c r="N289" s="61"/>
      <c r="O289" s="61"/>
      <c r="P289" s="61"/>
      <c r="Q289" s="61"/>
      <c r="R289" s="61"/>
      <c r="S289" s="61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59"/>
      <c r="J290" s="59"/>
      <c r="K290" s="59"/>
      <c r="L290" s="60"/>
      <c r="M290" s="60"/>
      <c r="N290" s="61"/>
      <c r="O290" s="61"/>
      <c r="P290" s="61"/>
      <c r="Q290" s="61"/>
      <c r="R290" s="61"/>
      <c r="S290" s="61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63"/>
      <c r="J316" s="63"/>
      <c r="K316" s="63"/>
      <c r="L316" s="60"/>
      <c r="M316" s="60"/>
      <c r="N316" s="64"/>
      <c r="O316" s="64"/>
      <c r="P316" s="64"/>
      <c r="Q316" s="64"/>
      <c r="R316" s="64"/>
      <c r="S316" s="64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63"/>
      <c r="J317" s="63"/>
      <c r="K317" s="63"/>
      <c r="L317" s="60"/>
      <c r="M317" s="60"/>
      <c r="N317" s="64"/>
      <c r="O317" s="64"/>
      <c r="P317" s="64"/>
      <c r="Q317" s="64"/>
      <c r="R317" s="64"/>
      <c r="S317" s="64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63"/>
      <c r="J318" s="63"/>
      <c r="K318" s="63"/>
      <c r="L318" s="60"/>
      <c r="M318" s="60"/>
      <c r="N318" s="64"/>
      <c r="O318" s="64"/>
      <c r="P318" s="64"/>
      <c r="Q318" s="64"/>
      <c r="R318" s="64"/>
      <c r="S318" s="64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6.5" x14ac:dyDescent="0.2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6.5" x14ac:dyDescent="0.2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6.5" x14ac:dyDescent="0.2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6.5" x14ac:dyDescent="0.2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6.5" x14ac:dyDescent="0.2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6.5" x14ac:dyDescent="0.2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6.5" x14ac:dyDescent="0.2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6.5" x14ac:dyDescent="0.2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6.5" x14ac:dyDescent="0.2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6.5" x14ac:dyDescent="0.2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6.5" x14ac:dyDescent="0.2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  <row r="422" spans="1:21" ht="16.5" x14ac:dyDescent="0.25">
      <c r="A422" s="55"/>
      <c r="B422" s="56"/>
      <c r="C422" s="56"/>
      <c r="D422" s="56"/>
      <c r="E422" s="57"/>
      <c r="F422" s="58"/>
      <c r="G422" s="58"/>
      <c r="H422" s="58"/>
      <c r="I422" s="59"/>
      <c r="J422" s="59"/>
      <c r="K422" s="59"/>
      <c r="L422" s="60"/>
      <c r="M422" s="60"/>
      <c r="N422" s="61"/>
      <c r="O422" s="61"/>
      <c r="P422" s="61"/>
      <c r="Q422" s="61"/>
      <c r="R422" s="61"/>
      <c r="S422" s="61"/>
      <c r="T422" s="62"/>
      <c r="U422" s="62"/>
    </row>
    <row r="423" spans="1:21" ht="16.5" x14ac:dyDescent="0.25">
      <c r="A423" s="55"/>
      <c r="B423" s="56"/>
      <c r="C423" s="56"/>
      <c r="D423" s="56"/>
      <c r="E423" s="57"/>
      <c r="F423" s="58"/>
      <c r="G423" s="58"/>
      <c r="H423" s="58"/>
      <c r="I423" s="59"/>
      <c r="J423" s="59"/>
      <c r="K423" s="59"/>
      <c r="L423" s="60"/>
      <c r="M423" s="60"/>
      <c r="N423" s="61"/>
      <c r="O423" s="61"/>
      <c r="P423" s="61"/>
      <c r="Q423" s="61"/>
      <c r="R423" s="61"/>
      <c r="S423" s="61"/>
      <c r="T423" s="62"/>
      <c r="U423" s="62"/>
    </row>
    <row r="424" spans="1:21" ht="16.5" x14ac:dyDescent="0.25">
      <c r="A424" s="55"/>
      <c r="B424" s="56"/>
      <c r="C424" s="56"/>
      <c r="D424" s="56"/>
      <c r="E424" s="57"/>
      <c r="F424" s="58"/>
      <c r="G424" s="58"/>
      <c r="H424" s="58"/>
      <c r="I424" s="59"/>
      <c r="J424" s="59"/>
      <c r="K424" s="59"/>
      <c r="L424" s="60"/>
      <c r="M424" s="60"/>
      <c r="N424" s="61"/>
      <c r="O424" s="61"/>
      <c r="P424" s="61"/>
      <c r="Q424" s="61"/>
      <c r="R424" s="61"/>
      <c r="S424" s="61"/>
      <c r="T424" s="62"/>
      <c r="U424" s="62"/>
    </row>
  </sheetData>
  <sheetProtection selectLockedCells="1"/>
  <phoneticPr fontId="1" type="noConversion"/>
  <conditionalFormatting sqref="S2:S5 S7:S193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4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3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93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94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4:T424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3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4:U424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T7:T193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T8:T193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T194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T194:T424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U8:U193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U194:U424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0"/>
  <sheetViews>
    <sheetView topLeftCell="B1" zoomScale="85" zoomScaleNormal="85" workbookViewId="0">
      <selection activeCell="E26" sqref="E26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1.875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99</v>
      </c>
      <c r="D3" s="125">
        <f>帳戶!F6</f>
        <v>15764800</v>
      </c>
      <c r="E3" s="69">
        <f t="shared" ref="E3:E11" si="0">D3/$D$20</f>
        <v>0.57126608556591052</v>
      </c>
      <c r="F3" s="125">
        <f>帳戶!E6</f>
        <v>9382000</v>
      </c>
      <c r="G3" s="125">
        <v>15823800</v>
      </c>
      <c r="H3" s="94">
        <f t="shared" ref="H3" si="1">D3-G3</f>
        <v>-59000</v>
      </c>
      <c r="I3" s="92">
        <v>9382000</v>
      </c>
      <c r="J3" s="21">
        <f t="shared" ref="J3" si="2">IFERROR(H3/G3,"n/a")</f>
        <v>-3.7285607755406414E-3</v>
      </c>
      <c r="K3" s="29" t="s">
        <v>93</v>
      </c>
      <c r="L3" s="130"/>
      <c r="M3" s="130"/>
      <c r="N3" s="131"/>
      <c r="O3" s="98">
        <f>D3*0.1</f>
        <v>1576480</v>
      </c>
    </row>
    <row r="4" spans="3:15" x14ac:dyDescent="0.25">
      <c r="C4" s="124" t="s">
        <v>86</v>
      </c>
      <c r="D4" s="125">
        <f>帳戶!F4</f>
        <v>5897020</v>
      </c>
      <c r="E4" s="69">
        <f t="shared" si="0"/>
        <v>0.21368920201359265</v>
      </c>
      <c r="F4" s="125">
        <f>帳戶!E4</f>
        <v>0</v>
      </c>
      <c r="G4" s="125">
        <v>6726000</v>
      </c>
      <c r="H4" s="94">
        <f>D4-G4</f>
        <v>-828980</v>
      </c>
      <c r="I4" s="92">
        <v>0</v>
      </c>
      <c r="J4" s="21">
        <f>IFERROR(H4/G4,"n/a")</f>
        <v>-0.12325007433838835</v>
      </c>
      <c r="K4" s="29" t="s">
        <v>84</v>
      </c>
      <c r="L4" s="130"/>
      <c r="M4" s="130"/>
      <c r="N4" s="131"/>
      <c r="O4" s="98">
        <f t="shared" ref="O4" si="3">D4*0.1</f>
        <v>589702</v>
      </c>
    </row>
    <row r="5" spans="3:15" x14ac:dyDescent="0.25">
      <c r="C5" s="124" t="s">
        <v>89</v>
      </c>
      <c r="D5" s="125">
        <f>帳戶!F12</f>
        <v>5109650</v>
      </c>
      <c r="E5" s="69">
        <f t="shared" si="0"/>
        <v>0.18515742376128175</v>
      </c>
      <c r="F5" s="125">
        <f>帳戶!E12</f>
        <v>1320000</v>
      </c>
      <c r="G5" s="125">
        <v>5042270</v>
      </c>
      <c r="H5" s="94">
        <f t="shared" ref="H5" si="4">D5-G5</f>
        <v>67380</v>
      </c>
      <c r="I5" s="92">
        <v>1320000</v>
      </c>
      <c r="J5" s="21">
        <f t="shared" ref="J5" si="5">IFERROR(H5/G5,"n/a")</f>
        <v>1.3363028953229399E-2</v>
      </c>
      <c r="K5" s="29" t="s">
        <v>87</v>
      </c>
      <c r="L5" s="130"/>
      <c r="M5" s="130"/>
      <c r="N5" s="131"/>
      <c r="O5" s="98">
        <f>D5*0.1</f>
        <v>510965</v>
      </c>
    </row>
    <row r="6" spans="3:15" x14ac:dyDescent="0.25">
      <c r="C6" s="124" t="s">
        <v>95</v>
      </c>
      <c r="D6" s="125">
        <f>帳戶!F5</f>
        <v>3826896</v>
      </c>
      <c r="E6" s="69">
        <f t="shared" si="0"/>
        <v>0.13867450889245919</v>
      </c>
      <c r="F6" s="125">
        <f>帳戶!E5</f>
        <v>0</v>
      </c>
      <c r="G6" s="125">
        <v>4805190</v>
      </c>
      <c r="H6" s="94">
        <f t="shared" ref="H6" si="6">D6-G6</f>
        <v>-978294</v>
      </c>
      <c r="I6" s="92">
        <v>0</v>
      </c>
      <c r="J6" s="21">
        <f t="shared" ref="J6" si="7">IFERROR(H6/G6,"n/a")</f>
        <v>-0.20359111710463063</v>
      </c>
      <c r="K6" s="29" t="s">
        <v>84</v>
      </c>
      <c r="L6" s="130"/>
      <c r="M6" s="130"/>
      <c r="N6" s="131"/>
      <c r="O6" s="98">
        <f t="shared" ref="O6" si="8">D6*0.1</f>
        <v>382689.60000000003</v>
      </c>
    </row>
    <row r="7" spans="3:15" x14ac:dyDescent="0.25">
      <c r="C7" s="124" t="s">
        <v>100</v>
      </c>
      <c r="D7" s="125">
        <f>帳戶!F8</f>
        <v>3338500</v>
      </c>
      <c r="E7" s="69">
        <f t="shared" si="0"/>
        <v>0.12097659511454582</v>
      </c>
      <c r="F7" s="125">
        <f>帳戶!E8</f>
        <v>1683000</v>
      </c>
      <c r="G7" s="125">
        <v>3415500</v>
      </c>
      <c r="H7" s="94">
        <f t="shared" ref="H7" si="9">D7-G7</f>
        <v>-77000</v>
      </c>
      <c r="I7" s="92">
        <v>1683000</v>
      </c>
      <c r="J7" s="21">
        <f t="shared" ref="J7" si="10">IFERROR(H7/G7,"n/a")</f>
        <v>-2.2544283413848631E-2</v>
      </c>
      <c r="K7" s="29" t="s">
        <v>93</v>
      </c>
      <c r="L7" s="130"/>
      <c r="M7" s="130"/>
      <c r="N7" s="131"/>
      <c r="O7" s="98">
        <f t="shared" ref="O7" si="11">D7*0.1</f>
        <v>333850</v>
      </c>
    </row>
    <row r="8" spans="3:15" x14ac:dyDescent="0.25">
      <c r="C8" s="124" t="s">
        <v>105</v>
      </c>
      <c r="D8" s="125">
        <f>帳戶!F9</f>
        <v>3350000</v>
      </c>
      <c r="E8" s="69">
        <f t="shared" si="0"/>
        <v>0.12139331844652644</v>
      </c>
      <c r="F8" s="125">
        <f>帳戶!E9</f>
        <v>1950000</v>
      </c>
      <c r="G8" s="125">
        <v>0</v>
      </c>
      <c r="H8" s="94">
        <f t="shared" ref="H8" si="12">D8-G8</f>
        <v>3350000</v>
      </c>
      <c r="I8" s="92">
        <v>0</v>
      </c>
      <c r="J8" s="21" t="str">
        <f t="shared" ref="J8" si="13">IFERROR(H8/G8,"n/a")</f>
        <v>n/a</v>
      </c>
      <c r="K8" s="29" t="s">
        <v>93</v>
      </c>
      <c r="L8" s="130"/>
      <c r="M8" s="130"/>
      <c r="N8" s="131"/>
      <c r="O8" s="98">
        <f t="shared" ref="O8" si="14">D8*0.1</f>
        <v>335000</v>
      </c>
    </row>
    <row r="9" spans="3:15" x14ac:dyDescent="0.25">
      <c r="C9" s="124" t="s">
        <v>103</v>
      </c>
      <c r="D9" s="125">
        <f>帳戶!F7</f>
        <v>3312090</v>
      </c>
      <c r="E9" s="69">
        <f t="shared" si="0"/>
        <v>0.12001958092344948</v>
      </c>
      <c r="F9" s="125">
        <f>帳戶!E7</f>
        <v>704000</v>
      </c>
      <c r="G9" s="125">
        <v>3313709.9999999995</v>
      </c>
      <c r="H9" s="94">
        <f>D9-G9</f>
        <v>-1619.9999999995343</v>
      </c>
      <c r="I9" s="92">
        <v>704000</v>
      </c>
      <c r="J9" s="21">
        <f>IFERROR(H9/G9,"n/a")</f>
        <v>-4.8887802493263884E-4</v>
      </c>
      <c r="K9" s="29" t="s">
        <v>93</v>
      </c>
      <c r="L9" s="130"/>
      <c r="M9" s="130"/>
      <c r="N9" s="131"/>
      <c r="O9" s="98">
        <f>D9*0.1</f>
        <v>331209</v>
      </c>
    </row>
    <row r="10" spans="3:15" x14ac:dyDescent="0.25">
      <c r="C10" s="124" t="s">
        <v>101</v>
      </c>
      <c r="D10" s="125">
        <f>帳戶!F10</f>
        <v>2439000</v>
      </c>
      <c r="E10" s="69">
        <f t="shared" si="0"/>
        <v>8.8381583191366561E-2</v>
      </c>
      <c r="F10" s="125">
        <f>帳戶!E10</f>
        <v>1153000</v>
      </c>
      <c r="G10" s="125">
        <v>2418000</v>
      </c>
      <c r="H10" s="94">
        <f t="shared" ref="H10" si="15">D10-G10</f>
        <v>21000</v>
      </c>
      <c r="I10" s="92">
        <v>1153000</v>
      </c>
      <c r="J10" s="21">
        <f t="shared" ref="J10" si="16">IFERROR(H10/G10,"n/a")</f>
        <v>8.6848635235732014E-3</v>
      </c>
      <c r="K10" s="29" t="s">
        <v>93</v>
      </c>
      <c r="L10" s="130"/>
      <c r="M10" s="130"/>
      <c r="N10" s="131"/>
      <c r="O10" s="98">
        <f>D10*0.1</f>
        <v>243900</v>
      </c>
    </row>
    <row r="11" spans="3:15" x14ac:dyDescent="0.25">
      <c r="C11" s="124" t="s">
        <v>92</v>
      </c>
      <c r="D11" s="125">
        <f>帳戶!F11</f>
        <v>1899000</v>
      </c>
      <c r="E11" s="69">
        <f t="shared" si="0"/>
        <v>6.8813704994016039E-2</v>
      </c>
      <c r="F11" s="125">
        <f>帳戶!E11</f>
        <v>1149000</v>
      </c>
      <c r="G11" s="125">
        <v>1917000</v>
      </c>
      <c r="H11" s="94">
        <f>D11-G11</f>
        <v>-18000</v>
      </c>
      <c r="I11" s="92">
        <v>1149000</v>
      </c>
      <c r="J11" s="21">
        <f>IFERROR(H11/G11,"n/a")</f>
        <v>-9.3896713615023476E-3</v>
      </c>
      <c r="K11" s="29" t="s">
        <v>90</v>
      </c>
      <c r="L11" s="130"/>
      <c r="M11" s="130"/>
      <c r="N11" s="131"/>
      <c r="O11" s="98">
        <f>D11*0.1</f>
        <v>189900</v>
      </c>
    </row>
    <row r="12" spans="3:15" ht="17.25" thickBot="1" x14ac:dyDescent="0.3">
      <c r="C12" s="18" t="s">
        <v>30</v>
      </c>
      <c r="D12" s="90">
        <f t="shared" ref="D12:I12" si="17">SUM(D3:D11)</f>
        <v>44936956</v>
      </c>
      <c r="E12" s="118">
        <f t="shared" si="17"/>
        <v>1.6283720029031483</v>
      </c>
      <c r="F12" s="90">
        <f t="shared" si="17"/>
        <v>17341000</v>
      </c>
      <c r="G12" s="90">
        <f t="shared" si="17"/>
        <v>43461470</v>
      </c>
      <c r="H12" s="90">
        <f t="shared" si="17"/>
        <v>1475486.0000000005</v>
      </c>
      <c r="I12" s="90">
        <f t="shared" si="17"/>
        <v>15391000</v>
      </c>
      <c r="J12" s="86">
        <f t="shared" ref="J12:J14" si="18">IFERROR(H12/G12,"n/a")</f>
        <v>3.3949288875870981E-2</v>
      </c>
      <c r="K12" s="86"/>
      <c r="L12" s="86"/>
      <c r="M12" s="86"/>
      <c r="N12" s="86"/>
      <c r="O12" s="126">
        <f>SUM(O3:O11)</f>
        <v>4493695.5999999996</v>
      </c>
    </row>
    <row r="13" spans="3:15" ht="16.5" customHeight="1" x14ac:dyDescent="0.25">
      <c r="C13" s="87"/>
      <c r="D13" s="104">
        <v>0</v>
      </c>
      <c r="E13" s="106">
        <f>D13/$D$20</f>
        <v>0</v>
      </c>
      <c r="F13" s="88">
        <v>0</v>
      </c>
      <c r="G13" s="104">
        <v>0</v>
      </c>
      <c r="H13" s="96">
        <f>D13-G13</f>
        <v>0</v>
      </c>
      <c r="I13" s="88">
        <v>0</v>
      </c>
      <c r="J13" s="89" t="str">
        <f t="shared" si="18"/>
        <v>n/a</v>
      </c>
      <c r="K13" s="107"/>
      <c r="L13" s="107"/>
      <c r="M13" s="107"/>
      <c r="N13" s="107"/>
      <c r="O13" s="100">
        <f>D13*0.1</f>
        <v>0</v>
      </c>
    </row>
    <row r="14" spans="3:15" ht="17.25" thickBot="1" x14ac:dyDescent="0.3">
      <c r="C14" s="18" t="s">
        <v>30</v>
      </c>
      <c r="D14" s="90">
        <f>SUM(D13:D13)</f>
        <v>0</v>
      </c>
      <c r="E14" s="90"/>
      <c r="F14" s="20"/>
      <c r="G14" s="90">
        <f>SUM(G13:G13)</f>
        <v>0</v>
      </c>
      <c r="H14" s="95">
        <f>D14-G14</f>
        <v>0</v>
      </c>
      <c r="I14" s="19"/>
      <c r="J14" s="86" t="str">
        <f t="shared" si="18"/>
        <v>n/a</v>
      </c>
      <c r="K14" s="86"/>
      <c r="L14" s="86"/>
      <c r="M14" s="86"/>
      <c r="N14" s="86"/>
      <c r="O14" s="99">
        <f>SUM(0)</f>
        <v>0</v>
      </c>
    </row>
    <row r="15" spans="3:15" x14ac:dyDescent="0.25">
      <c r="C15" s="108" t="s">
        <v>31</v>
      </c>
      <c r="D15" s="109">
        <f ca="1">D15-帳戶!F15</f>
        <v>0</v>
      </c>
      <c r="E15" s="109"/>
      <c r="F15" s="110"/>
      <c r="G15" s="109">
        <v>0</v>
      </c>
      <c r="H15" s="111"/>
      <c r="I15" s="109"/>
      <c r="J15" s="110"/>
      <c r="K15" s="110"/>
      <c r="L15" s="110"/>
      <c r="M15" s="110"/>
      <c r="N15" s="110"/>
      <c r="O15" s="112"/>
    </row>
    <row r="16" spans="3:15" x14ac:dyDescent="0.25">
      <c r="C16" s="71" t="s">
        <v>32</v>
      </c>
      <c r="D16" s="91">
        <f>帳戶!C21</f>
        <v>291</v>
      </c>
      <c r="E16" s="69">
        <f>D16/$D$20</f>
        <v>1.0544912139683342E-5</v>
      </c>
      <c r="F16" s="69"/>
      <c r="G16" s="91">
        <v>27</v>
      </c>
      <c r="H16" s="94">
        <f>D16-G16</f>
        <v>264</v>
      </c>
      <c r="I16" s="22"/>
      <c r="J16" s="70">
        <f>H16/G16</f>
        <v>9.7777777777777786</v>
      </c>
      <c r="K16" s="29" t="s">
        <v>32</v>
      </c>
      <c r="L16" s="29"/>
      <c r="M16" s="29"/>
      <c r="N16" s="29"/>
      <c r="O16" s="98"/>
    </row>
    <row r="17" spans="2:15" x14ac:dyDescent="0.25">
      <c r="C17" s="71" t="s">
        <v>68</v>
      </c>
      <c r="D17" s="91">
        <f>期貨!C4</f>
        <v>0</v>
      </c>
      <c r="E17" s="69">
        <f>D17/$D$20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/>
      <c r="L17" s="29"/>
      <c r="M17" s="29"/>
      <c r="N17" s="29"/>
      <c r="O17" s="98"/>
    </row>
    <row r="18" spans="2:15" x14ac:dyDescent="0.25">
      <c r="C18" s="71" t="s">
        <v>52</v>
      </c>
      <c r="D18" s="91">
        <f>帳戶!C22</f>
        <v>0</v>
      </c>
      <c r="E18" s="69">
        <f>D18/$D$20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 t="s">
        <v>34</v>
      </c>
      <c r="L18" s="29"/>
      <c r="M18" s="29"/>
      <c r="N18" s="29"/>
      <c r="O18" s="98"/>
    </row>
    <row r="19" spans="2:15" ht="17.25" thickBot="1" x14ac:dyDescent="0.3">
      <c r="C19" s="113" t="s">
        <v>31</v>
      </c>
      <c r="D19" s="114">
        <f>D12+D16-F12-帳戶!F24+D18</f>
        <v>0</v>
      </c>
      <c r="E19" s="114"/>
      <c r="F19" s="115"/>
      <c r="G19" s="114">
        <v>0</v>
      </c>
      <c r="H19" s="116"/>
      <c r="I19" s="114"/>
      <c r="J19" s="115"/>
      <c r="K19" s="115"/>
      <c r="L19" s="115"/>
      <c r="M19" s="115"/>
      <c r="N19" s="115"/>
      <c r="O19" s="117"/>
    </row>
    <row r="20" spans="2:15" ht="17.25" thickBot="1" x14ac:dyDescent="0.3">
      <c r="C20" s="18" t="s">
        <v>30</v>
      </c>
      <c r="D20" s="90">
        <f>D12+D16-F12+D18+D17</f>
        <v>27596247</v>
      </c>
      <c r="E20" s="118">
        <f>D20/$D$20</f>
        <v>1</v>
      </c>
      <c r="F20" s="20"/>
      <c r="G20" s="90">
        <f>G12+G16-I12+G18+G17</f>
        <v>28070497</v>
      </c>
      <c r="H20" s="95">
        <f t="shared" ref="H20" si="19">D20-G20</f>
        <v>-474250</v>
      </c>
      <c r="I20" s="19"/>
      <c r="J20" s="20">
        <f>H20/G20</f>
        <v>-1.6894962707642833E-2</v>
      </c>
      <c r="K20" s="20"/>
      <c r="L20" s="20"/>
      <c r="M20" s="20"/>
      <c r="N20" s="20"/>
      <c r="O20" s="99"/>
    </row>
    <row r="21" spans="2:15" x14ac:dyDescent="0.25">
      <c r="C21" s="119" t="s">
        <v>35</v>
      </c>
      <c r="D21" s="120">
        <v>28070497</v>
      </c>
      <c r="E21" s="23"/>
      <c r="G21" s="23"/>
      <c r="I21" s="26"/>
      <c r="O21" s="97"/>
    </row>
    <row r="22" spans="2:15" ht="18.75" customHeight="1" x14ac:dyDescent="0.25">
      <c r="C22" s="11" t="s">
        <v>36</v>
      </c>
      <c r="D22" s="93">
        <f>D20-D21</f>
        <v>-474250</v>
      </c>
      <c r="E22" s="105"/>
      <c r="F22" s="24"/>
      <c r="G22" s="23"/>
      <c r="H22" s="23"/>
      <c r="K22" s="24"/>
      <c r="L22" s="24"/>
      <c r="M22" s="24"/>
      <c r="N22" s="24"/>
      <c r="O22" s="97"/>
    </row>
    <row r="23" spans="2:15" ht="17.25" thickBot="1" x14ac:dyDescent="0.3">
      <c r="C23" s="12" t="s">
        <v>37</v>
      </c>
      <c r="D23" s="13">
        <f>D22/D21</f>
        <v>-1.6894962707642833E-2</v>
      </c>
      <c r="E23" s="23"/>
      <c r="F23" s="24"/>
      <c r="G23" s="23"/>
      <c r="H23" s="24"/>
      <c r="O23" s="97"/>
    </row>
    <row r="24" spans="2:15" x14ac:dyDescent="0.25">
      <c r="D24" s="31"/>
      <c r="E24" s="31"/>
      <c r="F24" s="30"/>
      <c r="G24" s="81"/>
      <c r="H24" s="81"/>
      <c r="I24" s="17"/>
      <c r="J24" s="17"/>
      <c r="K24" s="17"/>
      <c r="L24" s="17"/>
      <c r="M24" s="17"/>
      <c r="N24" s="17"/>
    </row>
    <row r="25" spans="2:15" x14ac:dyDescent="0.25">
      <c r="D25" s="25"/>
      <c r="E25" s="25"/>
    </row>
    <row r="27" spans="2:15" ht="17.25" customHeight="1" x14ac:dyDescent="0.25"/>
    <row r="29" spans="2:15" x14ac:dyDescent="0.25">
      <c r="G29" t="s">
        <v>21</v>
      </c>
    </row>
    <row r="30" spans="2:15" x14ac:dyDescent="0.25">
      <c r="B30" t="s">
        <v>53</v>
      </c>
    </row>
  </sheetData>
  <phoneticPr fontId="1" type="noConversion"/>
  <conditionalFormatting sqref="D2"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</conditionalFormatting>
  <conditionalFormatting sqref="E3:E14">
    <cfRule type="dataBar" priority="1481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1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</conditionalFormatting>
  <conditionalFormatting sqref="E3:E15">
    <cfRule type="dataBar" priority="148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0">
    <cfRule type="dataBar" priority="148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2">
    <cfRule type="dataBar" priority="148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3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conditionalFormatting sqref="E15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</conditionalFormatting>
  <conditionalFormatting sqref="E16"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</conditionalFormatting>
  <conditionalFormatting sqref="E19:E21"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</conditionalFormatting>
  <conditionalFormatting sqref="E23"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</conditionalFormatting>
  <conditionalFormatting sqref="F2 F23 F19:F20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7:F22"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</conditionalFormatting>
  <conditionalFormatting sqref="F17:F23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7:F23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9:F20 F23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9:F20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</conditionalFormatting>
  <conditionalFormatting sqref="F19:F21 F23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9:F21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1"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</conditionalFormatting>
  <conditionalFormatting sqref="F23"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2 H12 O1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F23 F19:F20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 F23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 F23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</xm:sqref>
        </x14:conditionalFormatting>
        <x14:conditionalFormatting xmlns:xm="http://schemas.microsoft.com/office/excel/2006/main"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C7" sqref="C7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34285</v>
      </c>
      <c r="D4" s="3">
        <f>VLOOKUP(B4,'[1]元大(自己)'!$B$4:$D$16,3,0)</f>
        <v>172</v>
      </c>
      <c r="E4" s="2">
        <v>0</v>
      </c>
      <c r="F4" s="2">
        <f t="shared" ref="F4:F11" si="0">C4*D4</f>
        <v>5897020</v>
      </c>
    </row>
    <row r="5" spans="2:6" x14ac:dyDescent="0.25">
      <c r="B5" s="7" t="s">
        <v>94</v>
      </c>
      <c r="C5" s="2">
        <v>20912</v>
      </c>
      <c r="D5" s="3">
        <f>VLOOKUP(B5,'[1]元大(自己)'!$B$4:$D$16,3,0)</f>
        <v>183</v>
      </c>
      <c r="E5" s="2">
        <v>0</v>
      </c>
      <c r="F5" s="2">
        <f t="shared" si="0"/>
        <v>3826896</v>
      </c>
    </row>
    <row r="6" spans="2:6" x14ac:dyDescent="0.25">
      <c r="B6" s="7" t="s">
        <v>96</v>
      </c>
      <c r="C6" s="2">
        <v>236000</v>
      </c>
      <c r="D6" s="3">
        <f>VLOOKUP(B6,'[1]元大(自己)'!$B$4:$D$16,3,0)</f>
        <v>66.8</v>
      </c>
      <c r="E6" s="2">
        <v>9382000</v>
      </c>
      <c r="F6" s="2">
        <f t="shared" si="0"/>
        <v>15764800</v>
      </c>
    </row>
    <row r="7" spans="2:6" x14ac:dyDescent="0.25">
      <c r="B7" s="7" t="s">
        <v>102</v>
      </c>
      <c r="C7" s="2">
        <v>81000</v>
      </c>
      <c r="D7" s="3">
        <f>VLOOKUP(B7,'[1]元大(自己)'!$B$4:$D$16,3,0)</f>
        <v>40.89</v>
      </c>
      <c r="E7" s="2">
        <v>704000</v>
      </c>
      <c r="F7" s="2">
        <f t="shared" ref="F7" si="1">C7*D7</f>
        <v>3312090</v>
      </c>
    </row>
    <row r="8" spans="2:6" x14ac:dyDescent="0.25">
      <c r="B8" s="7" t="s">
        <v>97</v>
      </c>
      <c r="C8" s="2">
        <v>11000</v>
      </c>
      <c r="D8" s="3">
        <f>VLOOKUP(B8,'[1]元大(自己)'!$B$4:$D$16,3,0)</f>
        <v>303.5</v>
      </c>
      <c r="E8" s="2">
        <v>1683000</v>
      </c>
      <c r="F8" s="2">
        <f t="shared" si="0"/>
        <v>3338500</v>
      </c>
    </row>
    <row r="9" spans="2:6" x14ac:dyDescent="0.25">
      <c r="B9" s="7" t="s">
        <v>104</v>
      </c>
      <c r="C9" s="2">
        <v>2000</v>
      </c>
      <c r="D9" s="3">
        <f>VLOOKUP(B9,'[1]元大(自己)'!$B$4:$D$16,3,0)</f>
        <v>1675</v>
      </c>
      <c r="E9" s="2">
        <v>1950000</v>
      </c>
      <c r="F9" s="2">
        <f t="shared" ref="F9" si="2">C9*D9</f>
        <v>3350000</v>
      </c>
    </row>
    <row r="10" spans="2:6" x14ac:dyDescent="0.25">
      <c r="B10" s="7" t="s">
        <v>98</v>
      </c>
      <c r="C10" s="2">
        <v>3000</v>
      </c>
      <c r="D10" s="3">
        <f>VLOOKUP(B10,'[1]元大(自己)'!$B$4:$D$16,3,0)</f>
        <v>813</v>
      </c>
      <c r="E10" s="2">
        <v>1153000</v>
      </c>
      <c r="F10" s="2">
        <f t="shared" si="0"/>
        <v>2439000</v>
      </c>
    </row>
    <row r="11" spans="2:6" x14ac:dyDescent="0.25">
      <c r="B11" s="7" t="s">
        <v>91</v>
      </c>
      <c r="C11" s="2">
        <v>6000</v>
      </c>
      <c r="D11" s="3">
        <f>VLOOKUP(B11,'[1]元大(自己)'!$B$4:$D$16,3,0)</f>
        <v>316.5</v>
      </c>
      <c r="E11" s="2">
        <v>1149000</v>
      </c>
      <c r="F11" s="2">
        <f t="shared" si="0"/>
        <v>1899000</v>
      </c>
    </row>
    <row r="12" spans="2:6" x14ac:dyDescent="0.25">
      <c r="B12" s="7" t="s">
        <v>88</v>
      </c>
      <c r="C12" s="2">
        <v>2246</v>
      </c>
      <c r="D12" s="3">
        <f>VLOOKUP(B12,'[1]元大(自己)'!$B$4:$D$16,3,0)</f>
        <v>2275</v>
      </c>
      <c r="E12" s="2">
        <v>1320000</v>
      </c>
      <c r="F12" s="2">
        <f t="shared" ref="F12" si="3">C12*D12</f>
        <v>5109650</v>
      </c>
    </row>
    <row r="13" spans="2:6" x14ac:dyDescent="0.25">
      <c r="B13" s="7"/>
      <c r="C13" s="2"/>
      <c r="D13" s="32"/>
      <c r="E13" s="3"/>
      <c r="F13" s="3"/>
    </row>
    <row r="14" spans="2:6" x14ac:dyDescent="0.25">
      <c r="C14" s="85"/>
    </row>
    <row r="15" spans="2:6" x14ac:dyDescent="0.25">
      <c r="D15" s="4" t="s">
        <v>57</v>
      </c>
      <c r="E15" s="9">
        <f>SUM(E4:E12)</f>
        <v>17341000</v>
      </c>
      <c r="F15" s="9">
        <f>SUM(F4:F12)</f>
        <v>44936956</v>
      </c>
    </row>
    <row r="16" spans="2:6" ht="17.25" thickBot="1" x14ac:dyDescent="0.3"/>
    <row r="17" spans="2:13" x14ac:dyDescent="0.25">
      <c r="B17" s="138" t="s">
        <v>32</v>
      </c>
      <c r="C17" s="139"/>
      <c r="D17" s="5"/>
      <c r="E17" s="5"/>
      <c r="F17" s="5"/>
    </row>
    <row r="18" spans="2:13" x14ac:dyDescent="0.25">
      <c r="B18" s="72" t="s">
        <v>43</v>
      </c>
      <c r="C18" s="8">
        <v>17094</v>
      </c>
      <c r="E18" s="132">
        <v>31.9</v>
      </c>
      <c r="F18" s="5"/>
    </row>
    <row r="19" spans="2:13" x14ac:dyDescent="0.25">
      <c r="B19" s="72" t="s">
        <v>44</v>
      </c>
      <c r="C19" s="8">
        <v>-17067</v>
      </c>
      <c r="E19" s="5"/>
      <c r="F19" s="5"/>
    </row>
    <row r="20" spans="2:13" x14ac:dyDescent="0.25">
      <c r="B20" s="72" t="s">
        <v>45</v>
      </c>
      <c r="C20" s="8">
        <v>264</v>
      </c>
      <c r="E20" s="5"/>
      <c r="F20" s="5"/>
    </row>
    <row r="21" spans="2:13" ht="17.25" thickBot="1" x14ac:dyDescent="0.3">
      <c r="B21" s="73" t="s">
        <v>46</v>
      </c>
      <c r="C21" s="74">
        <f>SUM(C18:C20)</f>
        <v>291</v>
      </c>
      <c r="F21" s="129">
        <f>F24+期貨!C4</f>
        <v>27596247</v>
      </c>
    </row>
    <row r="22" spans="2:13" ht="17.25" thickBot="1" x14ac:dyDescent="0.3">
      <c r="B22" s="75" t="s">
        <v>33</v>
      </c>
      <c r="C22" s="76">
        <v>0</v>
      </c>
      <c r="F22" s="23"/>
    </row>
    <row r="24" spans="2:13" x14ac:dyDescent="0.25">
      <c r="D24" s="6" t="s">
        <v>47</v>
      </c>
      <c r="E24" s="6"/>
      <c r="F24" s="10">
        <f>F15+C21+C22-E15</f>
        <v>27596247</v>
      </c>
    </row>
    <row r="26" spans="2:13" x14ac:dyDescent="0.25">
      <c r="F26" s="129"/>
    </row>
    <row r="27" spans="2:13" x14ac:dyDescent="0.25">
      <c r="F27" s="23"/>
    </row>
    <row r="28" spans="2:13" x14ac:dyDescent="0.25">
      <c r="D28" s="121">
        <f>SUM(D29:D44)</f>
        <v>0.99969000000000019</v>
      </c>
      <c r="H28" s="23">
        <f>(F24+期貨!C4)*0.67</f>
        <v>18489485.490000002</v>
      </c>
      <c r="K28" t="s">
        <v>60</v>
      </c>
      <c r="L28" t="s">
        <v>61</v>
      </c>
      <c r="M28" t="s">
        <v>62</v>
      </c>
    </row>
    <row r="29" spans="2:13" x14ac:dyDescent="0.2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1472.9264283606742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2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4">$H$28*F30/G30</f>
        <v>4579.579113505677</v>
      </c>
      <c r="I30">
        <v>4</v>
      </c>
      <c r="J30">
        <f t="shared" ref="J30:J44" si="5">I30*G30</f>
        <v>1374</v>
      </c>
      <c r="K30">
        <v>4</v>
      </c>
      <c r="L30">
        <v>0</v>
      </c>
      <c r="M30">
        <v>0</v>
      </c>
    </row>
    <row r="31" spans="2:13" x14ac:dyDescent="0.2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4"/>
        <v>893.7985372097728</v>
      </c>
      <c r="I31">
        <v>1</v>
      </c>
      <c r="J31">
        <f t="shared" si="5"/>
        <v>1760</v>
      </c>
      <c r="K31">
        <v>1</v>
      </c>
      <c r="L31">
        <v>0</v>
      </c>
      <c r="M31">
        <v>0</v>
      </c>
    </row>
    <row r="32" spans="2:13" x14ac:dyDescent="0.2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4"/>
        <v>4043.9214022858614</v>
      </c>
      <c r="I32">
        <v>4</v>
      </c>
      <c r="J32">
        <f t="shared" si="5"/>
        <v>778</v>
      </c>
      <c r="K32">
        <v>4</v>
      </c>
      <c r="L32">
        <v>0</v>
      </c>
      <c r="M32">
        <v>0</v>
      </c>
    </row>
    <row r="33" spans="2:13" x14ac:dyDescent="0.2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4"/>
        <v>3072.4324716585938</v>
      </c>
      <c r="I33">
        <v>3</v>
      </c>
      <c r="J33">
        <f t="shared" si="5"/>
        <v>768</v>
      </c>
      <c r="K33">
        <v>3</v>
      </c>
      <c r="L33">
        <v>0</v>
      </c>
      <c r="M33">
        <v>0</v>
      </c>
    </row>
    <row r="34" spans="2:13" x14ac:dyDescent="0.2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4"/>
        <v>5947.3929130026463</v>
      </c>
      <c r="I34">
        <v>5</v>
      </c>
      <c r="J34">
        <f t="shared" si="5"/>
        <v>1322.5</v>
      </c>
      <c r="K34">
        <v>5</v>
      </c>
      <c r="L34">
        <v>0</v>
      </c>
      <c r="M34">
        <v>0</v>
      </c>
    </row>
    <row r="35" spans="2:13" x14ac:dyDescent="0.2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4"/>
        <v>284.97924374804347</v>
      </c>
      <c r="I35">
        <v>0.3</v>
      </c>
      <c r="J35">
        <f t="shared" si="5"/>
        <v>1656</v>
      </c>
      <c r="K35">
        <v>0.3</v>
      </c>
      <c r="L35">
        <v>0</v>
      </c>
      <c r="M35">
        <v>0</v>
      </c>
    </row>
    <row r="36" spans="2:13" x14ac:dyDescent="0.2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4"/>
        <v>3932.7135637230003</v>
      </c>
      <c r="I36">
        <v>4</v>
      </c>
      <c r="J36">
        <f t="shared" si="5"/>
        <v>400</v>
      </c>
      <c r="K36">
        <v>4</v>
      </c>
      <c r="L36">
        <v>0</v>
      </c>
      <c r="M36">
        <v>0</v>
      </c>
    </row>
    <row r="37" spans="2:13" x14ac:dyDescent="0.2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4"/>
        <v>6500.3529978892566</v>
      </c>
      <c r="I37">
        <v>6</v>
      </c>
      <c r="J37">
        <f t="shared" si="5"/>
        <v>363</v>
      </c>
      <c r="K37">
        <v>6</v>
      </c>
      <c r="L37">
        <v>0</v>
      </c>
      <c r="M37">
        <v>0</v>
      </c>
    </row>
    <row r="38" spans="2:13" x14ac:dyDescent="0.2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4"/>
        <v>3591.5192362767125</v>
      </c>
      <c r="I38">
        <v>3</v>
      </c>
      <c r="J38">
        <f t="shared" si="5"/>
        <v>328.5</v>
      </c>
      <c r="K38">
        <v>3</v>
      </c>
      <c r="L38">
        <v>0</v>
      </c>
      <c r="M38">
        <v>0</v>
      </c>
    </row>
    <row r="39" spans="2:13" x14ac:dyDescent="0.2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4"/>
        <v>8484.8189077087372</v>
      </c>
      <c r="I39">
        <v>7</v>
      </c>
      <c r="J39">
        <f t="shared" si="5"/>
        <v>648.9</v>
      </c>
      <c r="K39">
        <v>7</v>
      </c>
      <c r="L39">
        <v>0</v>
      </c>
      <c r="M39">
        <v>0</v>
      </c>
    </row>
    <row r="40" spans="2:13" x14ac:dyDescent="0.2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4"/>
        <v>6027.1472240965522</v>
      </c>
      <c r="I40">
        <v>5</v>
      </c>
      <c r="J40">
        <f t="shared" si="5"/>
        <v>652.5</v>
      </c>
      <c r="K40">
        <v>5</v>
      </c>
      <c r="L40">
        <v>0</v>
      </c>
      <c r="M40">
        <v>0</v>
      </c>
    </row>
    <row r="41" spans="2:13" x14ac:dyDescent="0.2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4"/>
        <v>1081.1583680338144</v>
      </c>
      <c r="I41">
        <v>1</v>
      </c>
      <c r="J41">
        <f t="shared" si="5"/>
        <v>1455</v>
      </c>
      <c r="K41">
        <v>1</v>
      </c>
      <c r="L41">
        <v>0</v>
      </c>
      <c r="M41">
        <v>0</v>
      </c>
    </row>
    <row r="42" spans="2:13" x14ac:dyDescent="0.2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4"/>
        <v>947.6418225838554</v>
      </c>
      <c r="I42">
        <v>1</v>
      </c>
      <c r="J42">
        <f t="shared" si="5"/>
        <v>830</v>
      </c>
      <c r="K42">
        <v>1</v>
      </c>
      <c r="L42">
        <v>0</v>
      </c>
      <c r="M42">
        <v>0</v>
      </c>
    </row>
    <row r="43" spans="2:13" x14ac:dyDescent="0.2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4"/>
        <v>3480.277490020354</v>
      </c>
      <c r="I43">
        <v>3</v>
      </c>
      <c r="J43">
        <f t="shared" si="5"/>
        <v>678</v>
      </c>
      <c r="K43">
        <v>3</v>
      </c>
      <c r="L43">
        <v>0</v>
      </c>
      <c r="M43">
        <v>0</v>
      </c>
    </row>
    <row r="44" spans="2:13" x14ac:dyDescent="0.2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4"/>
        <v>817.61196750997919</v>
      </c>
      <c r="I44">
        <v>1</v>
      </c>
      <c r="J44">
        <f t="shared" si="5"/>
        <v>962</v>
      </c>
      <c r="K44">
        <v>1</v>
      </c>
      <c r="L44">
        <v>0</v>
      </c>
      <c r="M44">
        <v>0</v>
      </c>
    </row>
    <row r="47" spans="2:13" x14ac:dyDescent="0.2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2026-10-12T05:40:04Z</dcterms:modified>
  <cp:category/>
  <cp:contentStatus/>
</cp:coreProperties>
</file>