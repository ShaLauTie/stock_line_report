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5"/>
  <workbookPr/>
  <mc:AlternateContent xmlns:mc="http://schemas.openxmlformats.org/markup-compatibility/2006">
    <mc:Choice Requires="x15">
      <x15ac:absPath xmlns:x15ac="http://schemas.microsoft.com/office/spreadsheetml/2010/11/ac" url="C:\Users\user.DESKTOP-GSQ4N18\Downloads\"/>
    </mc:Choice>
  </mc:AlternateContent>
  <xr:revisionPtr revIDLastSave="0" documentId="13_ncr:1_{A734580D-779C-40FE-81AA-ED8958363D45}" xr6:coauthVersionLast="47" xr6:coauthVersionMax="47" xr10:uidLastSave="{00000000-0000-0000-0000-000000000000}"/>
  <bookViews>
    <workbookView xWindow="-28920" yWindow="1455" windowWidth="29040" windowHeight="15840" tabRatio="922" firstSheet="1" activeTab="1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按股票分類!$C$2:$O$20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5" i="36" l="1"/>
  <c r="Q185" i="36"/>
  <c r="P185" i="36"/>
  <c r="O185" i="36"/>
  <c r="R184" i="36"/>
  <c r="Q184" i="36"/>
  <c r="P184" i="36"/>
  <c r="O184" i="36"/>
  <c r="N184" i="36"/>
  <c r="R183" i="36"/>
  <c r="Q183" i="36"/>
  <c r="P183" i="36"/>
  <c r="O183" i="36"/>
  <c r="N183" i="36"/>
  <c r="R182" i="36"/>
  <c r="Q182" i="36"/>
  <c r="P182" i="36"/>
  <c r="O182" i="36"/>
  <c r="N182" i="36"/>
  <c r="R181" i="36"/>
  <c r="Q181" i="36"/>
  <c r="P181" i="36"/>
  <c r="O181" i="36"/>
  <c r="N181" i="36"/>
  <c r="F8" i="2"/>
  <c r="D8" i="17"/>
  <c r="D7" i="2"/>
  <c r="F7" i="2"/>
  <c r="D5" i="17"/>
  <c r="D6" i="2"/>
  <c r="F6" i="2"/>
  <c r="D4" i="17"/>
  <c r="F5" i="2"/>
  <c r="D7" i="17"/>
  <c r="F4" i="2"/>
  <c r="R180" i="36"/>
  <c r="Q180" i="36"/>
  <c r="N180" i="36"/>
  <c r="R179" i="36"/>
  <c r="Q179" i="36"/>
  <c r="N179" i="36"/>
  <c r="R178" i="36"/>
  <c r="Q178" i="36"/>
  <c r="N178" i="36"/>
  <c r="R177" i="36"/>
  <c r="Q177" i="36"/>
  <c r="N177" i="36"/>
  <c r="R176" i="36"/>
  <c r="Q176" i="36"/>
  <c r="N176" i="36"/>
  <c r="C18" i="2"/>
  <c r="F4" i="17"/>
  <c r="F9" i="2"/>
  <c r="D6" i="17"/>
  <c r="F5" i="17"/>
  <c r="R175" i="36"/>
  <c r="Q175" i="36"/>
  <c r="N175" i="36"/>
  <c r="R174" i="36"/>
  <c r="Q174" i="36"/>
  <c r="N174" i="36"/>
  <c r="R173" i="36"/>
  <c r="Q173" i="36"/>
  <c r="N173" i="36"/>
  <c r="R172" i="36"/>
  <c r="Q172" i="36"/>
  <c r="N172" i="36"/>
  <c r="R171" i="36"/>
  <c r="Q171" i="36"/>
  <c r="R170" i="36"/>
  <c r="Q170" i="36"/>
  <c r="N170" i="36"/>
  <c r="R169" i="36"/>
  <c r="Q169" i="36"/>
  <c r="N169" i="36"/>
  <c r="F8" i="17"/>
  <c r="F3" i="17"/>
  <c r="F6" i="17"/>
  <c r="D15" i="17"/>
  <c r="H15" i="17"/>
  <c r="J15" i="17"/>
  <c r="D14" i="17"/>
  <c r="H14" i="17"/>
  <c r="J14" i="17"/>
  <c r="I7" i="36"/>
  <c r="J7" i="36"/>
  <c r="G7" i="36"/>
  <c r="C171" i="36"/>
  <c r="R168" i="36"/>
  <c r="Q168" i="36"/>
  <c r="N168" i="36"/>
  <c r="R167" i="36"/>
  <c r="Q167" i="36"/>
  <c r="N167" i="36"/>
  <c r="R166" i="36"/>
  <c r="Q166" i="36"/>
  <c r="N166" i="36"/>
  <c r="R165" i="36"/>
  <c r="Q165" i="36"/>
  <c r="N165" i="36"/>
  <c r="R164" i="36"/>
  <c r="Q164" i="36"/>
  <c r="N164" i="36"/>
  <c r="R163" i="36"/>
  <c r="Q163" i="36"/>
  <c r="N163" i="36"/>
  <c r="E171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I9" i="17"/>
  <c r="G9" i="17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N128" i="36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4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25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26" i="2"/>
  <c r="O11" i="17"/>
  <c r="H10" i="17"/>
  <c r="J10" i="17"/>
  <c r="O10" i="17"/>
  <c r="D11" i="17"/>
  <c r="H11" i="17"/>
  <c r="J11" i="17"/>
  <c r="G11" i="17"/>
  <c r="S7" i="36"/>
  <c r="T7" i="36"/>
  <c r="B3" i="36"/>
  <c r="O150" i="36"/>
  <c r="O72" i="36"/>
  <c r="O97" i="36"/>
  <c r="O149" i="36"/>
  <c r="O32" i="36"/>
  <c r="O98" i="36"/>
  <c r="O140" i="36"/>
  <c r="O75" i="36"/>
  <c r="E12" i="2"/>
  <c r="F7" i="17"/>
  <c r="F9" i="17"/>
  <c r="O90" i="36"/>
  <c r="O159" i="36"/>
  <c r="O114" i="36"/>
  <c r="O52" i="36"/>
  <c r="O54" i="36"/>
  <c r="O81" i="36"/>
  <c r="O138" i="36"/>
  <c r="O64" i="36"/>
  <c r="O106" i="36"/>
  <c r="O21" i="36"/>
  <c r="O68" i="36"/>
  <c r="O65" i="36"/>
  <c r="O28" i="36"/>
  <c r="O139" i="36"/>
  <c r="O58" i="36"/>
  <c r="O175" i="36"/>
  <c r="O38" i="36"/>
  <c r="O62" i="36"/>
  <c r="O40" i="36"/>
  <c r="O55" i="36"/>
  <c r="O101" i="36"/>
  <c r="O172" i="36"/>
  <c r="O136" i="36"/>
  <c r="O137" i="36"/>
  <c r="O113" i="36"/>
  <c r="O132" i="36"/>
  <c r="O29" i="36"/>
  <c r="O22" i="36"/>
  <c r="O110" i="36"/>
  <c r="O14" i="36"/>
  <c r="O163" i="36"/>
  <c r="O85" i="36"/>
  <c r="O133" i="36"/>
  <c r="O99" i="36"/>
  <c r="O129" i="36"/>
  <c r="O171" i="36"/>
  <c r="O94" i="36"/>
  <c r="O10" i="36"/>
  <c r="O168" i="36"/>
  <c r="O151" i="36"/>
  <c r="O103" i="36"/>
  <c r="O122" i="36"/>
  <c r="O118" i="36"/>
  <c r="O11" i="36"/>
  <c r="O102" i="36"/>
  <c r="O36" i="36"/>
  <c r="O23" i="36"/>
  <c r="O128" i="36"/>
  <c r="O165" i="36"/>
  <c r="O174" i="36"/>
  <c r="O87" i="36"/>
  <c r="O117" i="36"/>
  <c r="O77" i="36"/>
  <c r="O115" i="36"/>
  <c r="O24" i="36"/>
  <c r="O123" i="36"/>
  <c r="O15" i="36"/>
  <c r="O162" i="36"/>
  <c r="O109" i="36"/>
  <c r="O164" i="36"/>
  <c r="O173" i="36"/>
  <c r="O120" i="36"/>
  <c r="O121" i="36"/>
  <c r="O33" i="36"/>
  <c r="O158" i="36"/>
  <c r="O47" i="36"/>
  <c r="O60" i="36"/>
  <c r="O49" i="36"/>
  <c r="O105" i="36"/>
  <c r="O131" i="36"/>
  <c r="O107" i="36"/>
  <c r="O142" i="36"/>
  <c r="O74" i="36"/>
  <c r="O154" i="36"/>
  <c r="O100" i="36"/>
  <c r="O46" i="36"/>
  <c r="O42" i="36"/>
  <c r="O71" i="36"/>
  <c r="O79" i="36"/>
  <c r="O63" i="36"/>
  <c r="O12" i="36"/>
  <c r="O141" i="36"/>
  <c r="O30" i="36"/>
  <c r="O13" i="36"/>
  <c r="O145" i="36"/>
  <c r="O80" i="36"/>
  <c r="O157" i="36"/>
  <c r="O8" i="36"/>
  <c r="O167" i="36"/>
  <c r="O35" i="36"/>
  <c r="O84" i="36"/>
  <c r="O53" i="36"/>
  <c r="O44" i="36"/>
  <c r="O26" i="36"/>
  <c r="O144" i="36"/>
  <c r="O67" i="36"/>
  <c r="O161" i="36"/>
  <c r="O25" i="36"/>
  <c r="O156" i="36"/>
  <c r="O126" i="36"/>
  <c r="O146" i="36"/>
  <c r="O34" i="36"/>
  <c r="O116" i="36"/>
  <c r="O155" i="36"/>
  <c r="O108" i="36"/>
  <c r="O130" i="36"/>
  <c r="O88" i="36"/>
  <c r="O111" i="36"/>
  <c r="O57" i="36"/>
  <c r="O18" i="36"/>
  <c r="O153" i="36"/>
  <c r="O9" i="36"/>
  <c r="O56" i="36"/>
  <c r="O70" i="36"/>
  <c r="O166" i="36"/>
  <c r="O91" i="36"/>
  <c r="O92" i="36"/>
  <c r="O59" i="36"/>
  <c r="O112" i="36"/>
  <c r="O148" i="36"/>
  <c r="O17" i="36"/>
  <c r="O124" i="36"/>
  <c r="O37" i="36"/>
  <c r="O76" i="36"/>
  <c r="G17" i="17"/>
  <c r="P39" i="36"/>
  <c r="P72" i="36"/>
  <c r="P32" i="36"/>
  <c r="P71" i="36"/>
  <c r="P29" i="36"/>
  <c r="P122" i="36"/>
  <c r="P126" i="36"/>
  <c r="P34" i="36"/>
  <c r="P50" i="36"/>
  <c r="P100" i="36"/>
  <c r="P22" i="36"/>
  <c r="P55" i="36"/>
  <c r="P57" i="36"/>
  <c r="P73" i="36"/>
  <c r="P61" i="36"/>
  <c r="P41" i="36"/>
  <c r="P99" i="36"/>
  <c r="P48" i="36"/>
  <c r="P103" i="36"/>
  <c r="P87" i="36"/>
  <c r="P82" i="36"/>
  <c r="P45" i="36"/>
  <c r="P38" i="36"/>
  <c r="P25" i="36"/>
  <c r="P86" i="36"/>
  <c r="P131" i="36"/>
  <c r="P180" i="36"/>
  <c r="P93" i="36"/>
  <c r="P26" i="36"/>
  <c r="P154" i="36"/>
  <c r="P51" i="36"/>
  <c r="P68" i="36"/>
  <c r="P35" i="36"/>
  <c r="P33" i="36"/>
  <c r="P11" i="36"/>
  <c r="P142" i="36"/>
  <c r="P164" i="36"/>
  <c r="P46" i="36"/>
  <c r="P23" i="36"/>
  <c r="P138" i="36"/>
  <c r="P28" i="36"/>
  <c r="P147" i="36"/>
  <c r="P163" i="36"/>
  <c r="P89" i="36"/>
  <c r="P17" i="36"/>
  <c r="P140" i="36"/>
  <c r="P97" i="36"/>
  <c r="P168" i="36"/>
  <c r="P175" i="36"/>
  <c r="P102" i="36"/>
  <c r="P64" i="36"/>
  <c r="P110" i="36"/>
  <c r="P133" i="36"/>
  <c r="P70" i="36"/>
  <c r="P111" i="36"/>
  <c r="P52" i="36"/>
  <c r="P109" i="36"/>
  <c r="P24" i="36"/>
  <c r="P10" i="36"/>
  <c r="P123" i="36"/>
  <c r="P94" i="36"/>
  <c r="P101" i="36"/>
  <c r="P171" i="36"/>
  <c r="P132" i="36"/>
  <c r="P91" i="36"/>
  <c r="P90" i="36"/>
  <c r="P58" i="36"/>
  <c r="P14" i="36"/>
  <c r="P173" i="36"/>
  <c r="P18" i="36"/>
  <c r="P119" i="36"/>
  <c r="P148" i="36"/>
  <c r="P8" i="36"/>
  <c r="P19" i="36"/>
  <c r="P144" i="36"/>
  <c r="P12" i="36"/>
  <c r="P67" i="36"/>
  <c r="P150" i="36"/>
  <c r="P139" i="36"/>
  <c r="P95" i="36"/>
  <c r="P13" i="36"/>
  <c r="P63" i="36"/>
  <c r="P42" i="36"/>
  <c r="P83" i="36"/>
  <c r="P128" i="36"/>
  <c r="P115" i="36"/>
  <c r="P117" i="36"/>
  <c r="P107" i="36"/>
  <c r="P151" i="36"/>
  <c r="P145" i="36"/>
  <c r="P169" i="36"/>
  <c r="P165" i="36"/>
  <c r="P88" i="36"/>
  <c r="P65" i="36"/>
  <c r="P141" i="36"/>
  <c r="P9" i="36"/>
  <c r="P59" i="36"/>
  <c r="P15" i="36"/>
  <c r="P172" i="36"/>
  <c r="P166" i="36"/>
  <c r="P167" i="36"/>
  <c r="P84" i="36"/>
  <c r="P60" i="36"/>
  <c r="P114" i="36"/>
  <c r="P54" i="36"/>
  <c r="P79" i="36"/>
  <c r="P77" i="36"/>
  <c r="P75" i="36"/>
  <c r="P98" i="36"/>
  <c r="P27" i="36"/>
  <c r="P127" i="36"/>
  <c r="P129" i="36"/>
  <c r="P157" i="36"/>
  <c r="P121" i="36"/>
  <c r="P81" i="36"/>
  <c r="P124" i="36"/>
  <c r="P62" i="36"/>
  <c r="P146" i="36"/>
  <c r="P153" i="36"/>
  <c r="P85" i="36"/>
  <c r="P143" i="36"/>
  <c r="P116" i="36"/>
  <c r="P66" i="36"/>
  <c r="P174" i="36"/>
  <c r="P30" i="36"/>
  <c r="P161" i="36"/>
  <c r="P80" i="36"/>
  <c r="P53" i="36"/>
  <c r="P137" i="36"/>
  <c r="P159" i="36"/>
  <c r="P125" i="36"/>
  <c r="P37" i="36"/>
  <c r="P74" i="36"/>
  <c r="P56" i="36"/>
  <c r="P130" i="36"/>
  <c r="P152" i="36"/>
  <c r="P112" i="36"/>
  <c r="P20" i="36"/>
  <c r="P92" i="36"/>
  <c r="P21" i="36"/>
  <c r="P16" i="36"/>
  <c r="P104" i="36"/>
  <c r="P156" i="36"/>
  <c r="P78" i="36"/>
  <c r="P44" i="36"/>
  <c r="P76" i="36"/>
  <c r="P105" i="36"/>
  <c r="P113" i="36"/>
  <c r="P149" i="36"/>
  <c r="P179" i="36"/>
  <c r="P36" i="36"/>
  <c r="P106" i="36"/>
  <c r="P40" i="36"/>
  <c r="P31" i="36"/>
  <c r="P108" i="36"/>
  <c r="P170" i="36"/>
  <c r="P96" i="36"/>
  <c r="P162" i="36"/>
  <c r="P120" i="36"/>
  <c r="P118" i="36"/>
  <c r="P160" i="36"/>
  <c r="P158" i="36"/>
  <c r="P69" i="36"/>
  <c r="P155" i="36"/>
  <c r="P43" i="36"/>
  <c r="P47" i="36"/>
  <c r="P136" i="36"/>
  <c r="P49" i="36"/>
  <c r="O180" i="36"/>
  <c r="O19" i="36"/>
  <c r="O48" i="36"/>
  <c r="O127" i="36"/>
  <c r="O160" i="36"/>
  <c r="O95" i="36"/>
  <c r="O96" i="36"/>
  <c r="O93" i="36"/>
  <c r="O143" i="36"/>
  <c r="O169" i="36"/>
  <c r="O41" i="36"/>
  <c r="O147" i="36"/>
  <c r="O69" i="36"/>
  <c r="O82" i="36"/>
  <c r="O20" i="36"/>
  <c r="O119" i="36"/>
  <c r="O16" i="36"/>
  <c r="O31" i="36"/>
  <c r="O43" i="36"/>
  <c r="O39" i="36"/>
  <c r="O83" i="36"/>
  <c r="O104" i="36"/>
  <c r="O73" i="36"/>
  <c r="O27" i="36"/>
  <c r="O61" i="36"/>
  <c r="O125" i="36"/>
  <c r="O45" i="36"/>
  <c r="O152" i="36"/>
  <c r="O50" i="36"/>
  <c r="O86" i="36"/>
  <c r="O170" i="36"/>
  <c r="O78" i="36"/>
  <c r="O51" i="36"/>
  <c r="O89" i="36"/>
  <c r="O179" i="36"/>
  <c r="O66" i="36"/>
  <c r="S171" i="36"/>
  <c r="N171" i="36"/>
  <c r="O4" i="17"/>
  <c r="H4" i="17"/>
  <c r="J4" i="17"/>
  <c r="O8" i="17"/>
  <c r="H8" i="17"/>
  <c r="J8" i="17"/>
  <c r="H5" i="17"/>
  <c r="J5" i="17"/>
  <c r="O5" i="17"/>
  <c r="O6" i="17"/>
  <c r="H6" i="17"/>
  <c r="J6" i="17"/>
  <c r="D3" i="17"/>
  <c r="F12" i="2"/>
  <c r="F21" i="2"/>
  <c r="D9" i="17"/>
  <c r="K185" i="36"/>
  <c r="H7" i="17"/>
  <c r="O7" i="17"/>
  <c r="D13" i="17"/>
  <c r="P178" i="36"/>
  <c r="P177" i="36"/>
  <c r="P176" i="36"/>
  <c r="O178" i="36"/>
  <c r="O177" i="36"/>
  <c r="O176" i="36"/>
  <c r="H3" i="17"/>
  <c r="J3" i="17"/>
  <c r="O3" i="17"/>
  <c r="O9" i="17"/>
  <c r="H9" i="17"/>
  <c r="J9" i="17"/>
  <c r="J7" i="17"/>
  <c r="F18" i="2"/>
  <c r="H25" i="2"/>
  <c r="D17" i="17"/>
  <c r="E13" i="17"/>
  <c r="H13" i="17"/>
  <c r="J13" i="17"/>
  <c r="D16" i="17"/>
  <c r="H30" i="2"/>
  <c r="H31" i="2"/>
  <c r="H41" i="2"/>
  <c r="H33" i="2"/>
  <c r="H32" i="2"/>
  <c r="H39" i="2"/>
  <c r="H35" i="2"/>
  <c r="H28" i="2"/>
  <c r="H40" i="2"/>
  <c r="H27" i="2"/>
  <c r="H37" i="2"/>
  <c r="H34" i="2"/>
  <c r="H36" i="2"/>
  <c r="H29" i="2"/>
  <c r="H38" i="2"/>
  <c r="H26" i="2"/>
  <c r="H17" i="17"/>
  <c r="J17" i="17"/>
  <c r="E15" i="17"/>
  <c r="B2" i="36"/>
  <c r="E7" i="17"/>
  <c r="D19" i="17"/>
  <c r="D20" i="17"/>
  <c r="E10" i="17"/>
  <c r="B185" i="36"/>
  <c r="E185" i="36"/>
  <c r="E9" i="17"/>
  <c r="E3" i="17"/>
  <c r="E17" i="17"/>
  <c r="E5" i="17"/>
  <c r="E14" i="17"/>
  <c r="E2" i="36"/>
  <c r="E4" i="17"/>
  <c r="E6" i="17"/>
  <c r="E8" i="17"/>
  <c r="C185" i="36"/>
  <c r="N185" i="36"/>
  <c r="T185" i="36"/>
  <c r="S185" i="36"/>
  <c r="D12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<sst xmlns="http://schemas.openxmlformats.org/spreadsheetml/2006/main" count="112" uniqueCount="100">
  <si>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</si>
  <si>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</si>
  <si>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</si>
  <si>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</si>
  <si>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</si>
  <si>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</si>
  <si>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</si>
  <si>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</si>
  <si>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</si>
  <si>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</si>
  <si>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</si>
  <si>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</si>
  <si>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</si>
  <si>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</si>
  <si>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</si>
  <si>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</si>
  <si>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</si>
  <si>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</si>
  <si>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</si>
  <si>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</si>
  <si>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</si>
  <si>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</si>
  <si>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</si>
  <si>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</si>
  <si>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</si>
  <si>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</si>
  <si>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</si>
  <si>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</si>
  <si>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</si>
  <si>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</si>
  <si>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</si>
  <si>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</si>
  <si>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</si>
  <si>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</si>
  <si>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</si>
  <si>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</si>
  <si>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</si>
  <si>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</si>
  <si>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</si>
  <si>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</si>
  <si>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</si>
  <si>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</si>
  <si>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</si>
  <si>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</si>
  <si>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</si>
  <si>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</si>
  <si>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</si>
  <si>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</si>
  <si>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</si>
  <si>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</si>
  <si>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</si>
  <si>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</si>
  <si>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</si>
  <si>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</si>
  <si>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</si>
  <si>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</si>
  <si>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</si>
  <si>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</si>
  <si>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</si>
  <si>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</si>
  <si>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</si>
  <si>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</si>
  <si>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</si>
  <si>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</si>
  <si>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</si>
  <si>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</si>
  <si>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</si>
  <si>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</si>
  <si>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</si>
  <si>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</si>
  <si>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</si>
  <si>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</si>
  <si>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</si>
  <si>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</si>
  <si>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</si>
  <si>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</si>
  <si>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</si>
  <si>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</si>
  <si>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</si>
  <si>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</si>
  <si>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</si>
  <si>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</si>
  <si>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</si>
  <si>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</si>
  <si>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</si>
  <si>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</si>
  <si>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</si>
  <si>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金融</t>
  </si>
  <si>
    <t>緯穎</t>
  </si>
  <si>
    <t>緯穎(6669)</t>
  </si>
  <si>
    <t>金融</t>
    <phoneticPr fontId="1" type="noConversion"/>
  </si>
  <si>
    <t>騰雲</t>
    <phoneticPr fontId="1" type="noConversion"/>
  </si>
  <si>
    <t>騰雲(6870)</t>
    <phoneticPr fontId="1" type="noConversion"/>
  </si>
  <si>
    <t>創意</t>
    <phoneticPr fontId="1" type="noConversion"/>
  </si>
  <si>
    <t>創意(3443)</t>
    <phoneticPr fontId="1" type="noConversion"/>
  </si>
  <si>
    <t>半導體</t>
    <phoneticPr fontId="1" type="noConversion"/>
  </si>
  <si>
    <t>聯發科</t>
    <phoneticPr fontId="1" type="noConversion"/>
  </si>
  <si>
    <t>聯發科(2454)</t>
    <phoneticPr fontId="1" type="noConversion"/>
  </si>
  <si>
    <t>仲恩生醫</t>
  </si>
  <si>
    <t>仲恩生醫(7729)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</si>
</sst>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76" formatCode="_-* #,##0_-;\-* #,##0_-;_-* &quot;-&quot;_-;_-@_-"/>
    <numFmt numFmtId="177" formatCode="_-&quot;$&quot;* #,##0.00_-;\-&quot;$&quot;* #,##0.00_-;_-&quot;$&quot;* &quot;-&quot;??_-;_-@_-"/>
    <numFmt numFmtId="178" formatCode="_-* #,##0.00_-;\-* #,##0.00_-;_-* &quot;-&quot;??_-;_-@_-"/>
    <numFmt numFmtId="179" formatCode="_-* #,##0.00_-;\-* #,##0.00_-;_-* &quot;-&quot;_-;_-@_-"/>
    <numFmt numFmtId="180" formatCode="0.00_);[Red]\(0.00\)"/>
    <numFmt numFmtId="181" formatCode="0.0%"/>
    <numFmt numFmtId="182" formatCode="_-&quot;$&quot;* #,##0_-;\-&quot;$&quot;* #,##0_-;_-&quot;$&quot;* &quot;-&quot;??_-;_-@_-"/>
    <numFmt numFmtId="183" formatCode="_-* #,##0_-;\-* #,##0_-;_-* &quot;-&quot;??_-;_-@_-"/>
    <numFmt numFmtId="184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>
      <alignment vertical="center"/>
    </xf>
    <xf numFmtId="179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178" fontId="2" fillId="0" borderId="5" xfId="0" applyNumberFormat="1" applyFont="1" applyBorder="1">
      <alignment vertical="center"/>
    </xf>
    <xf numFmtId="177" fontId="2" fillId="2" borderId="1" xfId="1" applyFont="1" applyFill="1" applyBorder="1">
      <alignment vertical="center"/>
    </xf>
    <xf numFmtId="177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177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178" fontId="15" fillId="0" borderId="1" xfId="1" applyNumberFormat="1" applyFont="1" applyBorder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quotePrefix="1">
      <alignment vertical="center"/>
    </xf>
    <xf numFmtId="178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8" fontId="14" fillId="0" borderId="0" xfId="0" applyNumberFormat="1" applyFont="1">
      <alignment vertical="center"/>
    </xf>
    <xf numFmtId="0" fontId="13" fillId="0" borderId="0" xfId="0" applyFont="1">
      <alignment vertical="center"/>
    </xf>
    <xf numFmtId="179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3" fontId="20" fillId="0" borderId="20" xfId="3" applyNumberFormat="1" applyFont="1" applyBorder="1"/>
    <xf numFmtId="181" fontId="21" fillId="0" borderId="21" xfId="4" applyNumberFormat="1" applyFont="1" applyBorder="1" applyAlignment="1" applyProtection="1">
      <alignment horizontal="center" vertical="center"/>
    </xf>
    <xf numFmtId="183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3" fontId="0" fillId="0" borderId="0" xfId="5" applyNumberFormat="1" applyFont="1" applyBorder="1" applyAlignment="1" applyProtection="1"/>
    <xf numFmtId="178" fontId="0" fillId="0" borderId="2" xfId="5" applyFont="1" applyFill="1" applyBorder="1" applyAlignment="1" applyProtection="1"/>
    <xf numFmtId="178" fontId="0" fillId="0" borderId="2" xfId="5" applyFont="1" applyBorder="1" applyAlignment="1"/>
    <xf numFmtId="0" fontId="17" fillId="0" borderId="3" xfId="3" applyBorder="1"/>
    <xf numFmtId="183" fontId="0" fillId="0" borderId="23" xfId="5" applyNumberFormat="1" applyFont="1" applyFill="1" applyBorder="1" applyAlignment="1" applyProtection="1"/>
    <xf numFmtId="183" fontId="0" fillId="0" borderId="23" xfId="5" applyNumberFormat="1" applyFont="1" applyBorder="1" applyAlignment="1"/>
    <xf numFmtId="183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81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3" fontId="0" fillId="0" borderId="0" xfId="5" applyNumberFormat="1" applyFont="1" applyAlignment="1"/>
    <xf numFmtId="2" fontId="15" fillId="3" borderId="0" xfId="6" applyNumberFormat="1" applyFill="1">
      <alignment vertical="center"/>
    </xf>
    <xf numFmtId="181" fontId="0" fillId="0" borderId="0" xfId="4" applyNumberFormat="1" applyFont="1" applyAlignment="1"/>
    <xf numFmtId="9" fontId="17" fillId="8" borderId="0" xfId="3" applyNumberFormat="1" applyFill="1"/>
    <xf numFmtId="183" fontId="0" fillId="0" borderId="0" xfId="5" applyNumberFormat="1" applyFont="1" applyBorder="1" applyAlignment="1"/>
    <xf numFmtId="181" fontId="0" fillId="0" borderId="0" xfId="4" applyNumberFormat="1" applyFont="1" applyBorder="1" applyAlignment="1"/>
    <xf numFmtId="0" fontId="24" fillId="0" borderId="0" xfId="3" applyFont="1"/>
    <xf numFmtId="178" fontId="0" fillId="0" borderId="22" xfId="5" applyFont="1" applyBorder="1" applyAlignment="1"/>
    <xf numFmtId="183" fontId="0" fillId="0" borderId="24" xfId="5" applyNumberFormat="1" applyFont="1" applyBorder="1" applyAlignment="1"/>
    <xf numFmtId="9" fontId="17" fillId="7" borderId="0" xfId="2" applyFont="1" applyFill="1" applyAlignment="1"/>
    <xf numFmtId="181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177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178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4" fontId="0" fillId="0" borderId="0" xfId="4" applyNumberFormat="1" applyFont="1" applyAlignment="1"/>
    <xf numFmtId="181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178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2" fontId="12" fillId="0" borderId="13" xfId="0" applyNumberFormat="1" applyFont="1" applyBorder="1">
      <alignment vertical="center"/>
    </xf>
    <xf numFmtId="182" fontId="12" fillId="0" borderId="1" xfId="0" applyNumberFormat="1" applyFont="1" applyBorder="1">
      <alignment vertical="center"/>
    </xf>
    <xf numFmtId="183" fontId="0" fillId="0" borderId="1" xfId="1" applyNumberFormat="1" applyFont="1" applyBorder="1">
      <alignment vertical="center"/>
    </xf>
    <xf numFmtId="183" fontId="5" fillId="0" borderId="5" xfId="0" applyNumberFormat="1" applyFont="1" applyBorder="1">
      <alignment vertical="center"/>
    </xf>
    <xf numFmtId="183" fontId="15" fillId="0" borderId="1" xfId="1" applyNumberFormat="1" applyFont="1" applyBorder="1">
      <alignment vertical="center"/>
    </xf>
    <xf numFmtId="183" fontId="12" fillId="0" borderId="13" xfId="0" applyNumberFormat="1" applyFont="1" applyBorder="1">
      <alignment vertical="center"/>
    </xf>
    <xf numFmtId="183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3" fontId="15" fillId="0" borderId="5" xfId="1" applyNumberFormat="1" applyFont="1" applyBorder="1">
      <alignment vertical="center"/>
    </xf>
    <xf numFmtId="183" fontId="12" fillId="0" borderId="7" xfId="0" applyNumberFormat="1" applyFont="1" applyBorder="1">
      <alignment vertical="center"/>
    </xf>
    <xf numFmtId="183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3" fontId="0" fillId="0" borderId="14" xfId="1" applyNumberFormat="1" applyFont="1" applyBorder="1">
      <alignment vertical="center"/>
    </xf>
    <xf numFmtId="183" fontId="5" fillId="0" borderId="0" xfId="0" applyNumberFormat="1" applyFont="1">
      <alignment vertical="center"/>
    </xf>
    <xf numFmtId="181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80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3" fontId="0" fillId="2" borderId="29" xfId="0" applyNumberFormat="1" applyFill="1" applyBorder="1">
      <alignment vertical="center"/>
    </xf>
    <xf numFmtId="183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80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3" fontId="0" fillId="2" borderId="13" xfId="0" applyNumberFormat="1" applyFill="1" applyBorder="1">
      <alignment vertical="center"/>
    </xf>
    <xf numFmtId="183" fontId="0" fillId="2" borderId="7" xfId="0" applyNumberFormat="1" applyFill="1" applyBorder="1">
      <alignment vertical="center"/>
    </xf>
    <xf numFmtId="181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2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3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3" fontId="0" fillId="0" borderId="32" xfId="1" applyNumberFormat="1" applyFont="1" applyBorder="1">
      <alignment vertical="center"/>
    </xf>
    <xf numFmtId="182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177" fontId="2" fillId="0" borderId="1" xfId="1" applyFont="1" applyBorder="1" applyAlignment="1">
      <alignment vertical="center"/>
    </xf>
    <xf numFmtId="44" fontId="0" fillId="0" borderId="0" xfId="0" applyNumberFormat="1">
      <alignment vertical="center"/>
    </xf>
    <xf numFmtId="183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總表!$A$7:$A$189</c:f>
              <c:numCache>
                <c:formatCode>m/d/yy</c:formatCode>
                <c:ptCount val="183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</c:numCache>
            </c:numRef>
          </c:cat>
          <c:val>
            <c:numRef>
              <c:f>總表!$N$7:$N$189</c:f>
              <c:numCache>
                <c:formatCode>0.0%</c:formatCode>
                <c:ptCount val="183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1.1147346969436294</c:v>
                </c:pt>
                <c:pt idx="166">
                  <c:v>1.0412225967398387</c:v>
                </c:pt>
                <c:pt idx="167">
                  <c:v>1.0459285950258352</c:v>
                </c:pt>
                <c:pt idx="168">
                  <c:v>1.0262715896213122</c:v>
                </c:pt>
                <c:pt idx="169">
                  <c:v>1.0441401185909629</c:v>
                </c:pt>
                <c:pt idx="170">
                  <c:v>1.0243081588030085</c:v>
                </c:pt>
                <c:pt idx="171">
                  <c:v>1.0128299881182872</c:v>
                </c:pt>
                <c:pt idx="172">
                  <c:v>1.0225578072383943</c:v>
                </c:pt>
                <c:pt idx="173">
                  <c:v>1.0380562131826432</c:v>
                </c:pt>
                <c:pt idx="174">
                  <c:v>1.1452941228735489</c:v>
                </c:pt>
                <c:pt idx="175">
                  <c:v>1.3785815771257242</c:v>
                </c:pt>
                <c:pt idx="176">
                  <c:v>1.388481927438356</c:v>
                </c:pt>
                <c:pt idx="177">
                  <c:v>1.4360282447132033</c:v>
                </c:pt>
                <c:pt idx="178">
                  <c:v>1.2613608882448584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總表!$A$7:$A$189</c:f>
              <c:numCache>
                <c:formatCode>m/d/yy</c:formatCode>
                <c:ptCount val="183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</c:numCache>
            </c:numRef>
          </c:cat>
          <c:val>
            <c:numRef>
              <c:f>總表!$Q$7:$Q$189</c:f>
              <c:numCache>
                <c:formatCode>0.0%</c:formatCode>
                <c:ptCount val="183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0.6580578879185166</c:v>
                </c:pt>
                <c:pt idx="165">
                  <c:v>0.65049666206313916</c:v>
                </c:pt>
                <c:pt idx="166">
                  <c:v>0.65326272365572891</c:v>
                </c:pt>
                <c:pt idx="167">
                  <c:v>0.64476273624942682</c:v>
                </c:pt>
                <c:pt idx="168">
                  <c:v>0.6182857761920848</c:v>
                </c:pt>
                <c:pt idx="169">
                  <c:v>0.60699954693033953</c:v>
                </c:pt>
                <c:pt idx="170">
                  <c:v>0.59470051124344114</c:v>
                </c:pt>
                <c:pt idx="171">
                  <c:v>0.60506606456652356</c:v>
                </c:pt>
                <c:pt idx="172">
                  <c:v>0.6204746987863623</c:v>
                </c:pt>
                <c:pt idx="173">
                  <c:v>0.65524994848722384</c:v>
                </c:pt>
                <c:pt idx="174">
                  <c:v>0.67412790159557612</c:v>
                </c:pt>
                <c:pt idx="175">
                  <c:v>0.6769813604167636</c:v>
                </c:pt>
                <c:pt idx="176">
                  <c:v>0.68962877116765431</c:v>
                </c:pt>
                <c:pt idx="177">
                  <c:v>0.68497411008834108</c:v>
                </c:pt>
                <c:pt idx="178">
                  <c:v>0.68497411008834108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總表!$A$7:$A$189</c:f>
              <c:numCache>
                <c:formatCode>m/d/yy</c:formatCode>
                <c:ptCount val="183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</c:numCache>
            </c:numRef>
          </c:cat>
          <c:val>
            <c:numRef>
              <c:f>總表!$R$7:$R$189</c:f>
              <c:numCache>
                <c:formatCode>0.0%</c:formatCode>
                <c:ptCount val="183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0.50728140912603292</c:v>
                </c:pt>
                <c:pt idx="165">
                  <c:v>0.49945513265043284</c:v>
                </c:pt>
                <c:pt idx="166">
                  <c:v>0.50282340353866584</c:v>
                </c:pt>
                <c:pt idx="167">
                  <c:v>0.49236195042697806</c:v>
                </c:pt>
                <c:pt idx="168">
                  <c:v>0.45657902557904539</c:v>
                </c:pt>
                <c:pt idx="169">
                  <c:v>0.45344851498880567</c:v>
                </c:pt>
                <c:pt idx="170">
                  <c:v>0.4316141942897902</c:v>
                </c:pt>
                <c:pt idx="171">
                  <c:v>0.46769087198589254</c:v>
                </c:pt>
                <c:pt idx="172">
                  <c:v>0.46387487571872921</c:v>
                </c:pt>
                <c:pt idx="173">
                  <c:v>0.51984307820332476</c:v>
                </c:pt>
                <c:pt idx="174">
                  <c:v>0.52021953200848015</c:v>
                </c:pt>
                <c:pt idx="175">
                  <c:v>0.52980919736086074</c:v>
                </c:pt>
                <c:pt idx="176">
                  <c:v>0.52461809752134902</c:v>
                </c:pt>
                <c:pt idx="177">
                  <c:v>0.52178478730360012</c:v>
                </c:pt>
                <c:pt idx="178">
                  <c:v>0.52178478730360012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185</xdr:row>
      <xdr:rowOff>185464</xdr:rowOff>
    </xdr:from>
    <xdr:to>
      <xdr:col>20</xdr:col>
      <xdr:colOff>39252</xdr:colOff>
      <xdr:row>206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user.DESKTOP-GSQ4N18/Downloads/&#32929;&#31080;&#32317;&#37096;&#20301;&#24115;20260924.xlsx" TargetMode="External"/><Relationship Id="rId1" Type="http://schemas.openxmlformats.org/officeDocument/2006/relationships/externalLinkPath" Target="&#32929;&#31080;&#32317;&#37096;&#20301;&#24115;202609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緯穎</v>
          </cell>
          <cell r="C4">
            <v>0</v>
          </cell>
          <cell r="D4">
            <v>2120</v>
          </cell>
        </row>
        <row r="5">
          <cell r="B5" t="str">
            <v>創意</v>
          </cell>
          <cell r="C5">
            <v>0</v>
          </cell>
          <cell r="D5">
            <v>8525</v>
          </cell>
        </row>
        <row r="6">
          <cell r="B6" t="str">
            <v>騰雲</v>
          </cell>
          <cell r="C6">
            <v>0</v>
          </cell>
          <cell r="D6">
            <v>338.5</v>
          </cell>
        </row>
        <row r="7">
          <cell r="B7" t="str">
            <v>聯發科</v>
          </cell>
          <cell r="C7">
            <v>0</v>
          </cell>
          <cell r="D7">
            <v>5290</v>
          </cell>
        </row>
        <row r="8">
          <cell r="B8" t="str">
            <v>仲恩生醫</v>
          </cell>
          <cell r="C8">
            <v>0</v>
          </cell>
          <cell r="D8">
            <v>199</v>
          </cell>
        </row>
        <row r="9">
          <cell r="B9" t="str">
            <v>仁新</v>
          </cell>
          <cell r="C9">
            <v>38004</v>
          </cell>
          <cell r="D9">
            <v>199</v>
          </cell>
        </row>
        <row r="10">
          <cell r="B10" t="str">
            <v>BLTE</v>
          </cell>
          <cell r="C10">
            <v>0</v>
          </cell>
          <cell r="D10">
            <v>168.67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5" x14ac:dyDescent="0.15"/>
  <sheetData>
    <row r="12" spans="6:6" ht="15.75" thickBot="1" x14ac:dyDescent="0.2"/>
    <row r="13" spans="6:6" ht="15.75" thickBot="1" x14ac:dyDescent="0.2">
      <c r="F13" s="28" t="s">
        <v>0</v>
      </c>
    </row>
    <row r="14" spans="6:6" x14ac:dyDescent="0.15">
      <c r="F14" s="133" t="s">
        <v>1</v>
      </c>
    </row>
    <row r="15" spans="6:6" x14ac:dyDescent="0.15">
      <c r="F15" s="134"/>
    </row>
    <row r="16" spans="6:6" x14ac:dyDescent="0.15">
      <c r="F16" s="134"/>
    </row>
    <row r="17" spans="6:6" x14ac:dyDescent="0.15">
      <c r="F17" s="134"/>
    </row>
    <row r="18" spans="6:6" x14ac:dyDescent="0.15">
      <c r="F18" s="134"/>
    </row>
    <row r="19" spans="6:6" x14ac:dyDescent="0.15">
      <c r="F19" s="134"/>
    </row>
    <row r="20" spans="6:6" x14ac:dyDescent="0.15">
      <c r="F20" s="134"/>
    </row>
    <row r="21" spans="6:6" x14ac:dyDescent="0.15">
      <c r="F21" s="134"/>
    </row>
    <row r="22" spans="6:6" x14ac:dyDescent="0.15">
      <c r="F22" s="134"/>
    </row>
    <row r="23" spans="6:6" x14ac:dyDescent="0.15">
      <c r="F23" s="134"/>
    </row>
    <row r="24" spans="6:6" x14ac:dyDescent="0.15">
      <c r="F24" s="134"/>
    </row>
    <row r="25" spans="6:6" x14ac:dyDescent="0.15">
      <c r="F25" s="134"/>
    </row>
    <row r="26" spans="6:6" x14ac:dyDescent="0.15">
      <c r="F26" s="134"/>
    </row>
    <row r="27" spans="6:6" x14ac:dyDescent="0.15">
      <c r="F27" s="134"/>
    </row>
    <row r="28" spans="6:6" x14ac:dyDescent="0.15">
      <c r="F28" s="134"/>
    </row>
    <row r="29" spans="6:6" x14ac:dyDescent="0.15">
      <c r="F29" s="134"/>
    </row>
    <row r="30" spans="6:6" x14ac:dyDescent="0.15">
      <c r="F30" s="134"/>
    </row>
    <row r="31" spans="6:6" x14ac:dyDescent="0.15">
      <c r="F31" s="134"/>
    </row>
    <row r="32" spans="6:6" ht="15.75" thickBot="1" x14ac:dyDescent="0.2">
      <c r="F32" s="135"/>
    </row>
    <row r="33" spans="6:6" x14ac:dyDescent="0.15">
      <c r="F33" s="136" t="s">
        <v>2</v>
      </c>
    </row>
    <row r="34" spans="6:6" ht="15.75" thickBot="1" x14ac:dyDescent="0.2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16"/>
  <sheetViews>
    <sheetView tabSelected="1" topLeftCell="A2" zoomScale="70" zoomScaleNormal="70" workbookViewId="0">
      <pane xSplit="1" ySplit="5" topLeftCell="B162" activePane="bottomRight" state="frozen"/>
      <selection activeCell="A2" sqref="A2"/>
      <selection pane="bottomLeft" activeCell="B5" sqref="B5"/>
      <selection pane="topRight" activeCell="B5" sqref="B5"/>
      <selection pane="bottomRight" activeCell="AE174" sqref="AE174"/>
    </sheetView>
  </sheetViews>
  <sheetFormatPr defaultColWidth="9.046875" defaultRowHeight="18" x14ac:dyDescent="0.2"/>
  <cols>
    <col min="1" max="1" width="18.09375" style="33" bestFit="1" customWidth="1"/>
    <col min="2" max="2" width="21.6875" style="33" customWidth="1"/>
    <col min="3" max="4" width="15.03515625" style="33" customWidth="1"/>
    <col min="5" max="5" width="13.4375" style="33" customWidth="1"/>
    <col min="6" max="8" width="13.4375" style="65" hidden="1" customWidth="1"/>
    <col min="9" max="10" width="14.5" style="33" hidden="1" customWidth="1"/>
    <col min="11" max="11" width="14.5" style="33" customWidth="1"/>
    <col min="12" max="13" width="15.30078125" style="33" bestFit="1" customWidth="1"/>
    <col min="14" max="14" width="16.89453125" style="33" customWidth="1"/>
    <col min="15" max="16" width="16.89453125" style="33" hidden="1" customWidth="1"/>
    <col min="17" max="17" width="13.4375" style="33" bestFit="1" customWidth="1"/>
    <col min="18" max="18" width="15.30078125" style="33" customWidth="1"/>
    <col min="19" max="19" width="9.9765625" style="33" bestFit="1" customWidth="1"/>
    <col min="20" max="20" width="16.62890625" style="33" bestFit="1" customWidth="1"/>
    <col min="21" max="21" width="8.6484375" style="33" customWidth="1"/>
    <col min="22" max="22" width="8.37890625" style="33" bestFit="1" customWidth="1"/>
    <col min="23" max="23" width="23.1484375" style="33" customWidth="1"/>
    <col min="24" max="16384" width="9.046875" style="33"/>
  </cols>
  <sheetData>
    <row r="1" spans="1:21" ht="4.5" hidden="1" customHeight="1" thickBot="1" x14ac:dyDescent="0.2">
      <c r="F1" s="33"/>
      <c r="G1" s="33"/>
      <c r="H1" s="33"/>
    </row>
    <row r="2" spans="1:21" ht="27" customHeight="1" thickBot="1" x14ac:dyDescent="0.3">
      <c r="A2" s="34" t="s">
        <v>3</v>
      </c>
      <c r="B2" s="35">
        <f>按股票分類!D17</f>
        <v>27996484.5</v>
      </c>
      <c r="C2" s="35"/>
      <c r="D2" s="35"/>
      <c r="E2" s="36">
        <f>按股票分類!D9/按股票分類!D17</f>
        <v>0.65487963319108866</v>
      </c>
      <c r="F2" s="33" t="s">
        <v>4</v>
      </c>
      <c r="G2" s="33"/>
      <c r="H2" s="33"/>
      <c r="I2" s="37"/>
      <c r="J2" s="37"/>
      <c r="K2" s="37"/>
      <c r="S2" s="83"/>
    </row>
    <row r="3" spans="1:21" ht="15.75" x14ac:dyDescent="0.15">
      <c r="A3" s="33" t="s">
        <v>5</v>
      </c>
      <c r="B3" s="38">
        <f>MAX(A:A)</f>
        <v>46294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5.75" thickBot="1" x14ac:dyDescent="0.2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2">
      <c r="S5" s="83"/>
    </row>
    <row r="6" spans="1:21" ht="15" x14ac:dyDescent="0.1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5" x14ac:dyDescent="0.1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5" x14ac:dyDescent="0.1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5" x14ac:dyDescent="0.1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5" x14ac:dyDescent="0.1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5" x14ac:dyDescent="0.1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5" x14ac:dyDescent="0.1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5" x14ac:dyDescent="0.1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5" x14ac:dyDescent="0.1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5" x14ac:dyDescent="0.1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5" x14ac:dyDescent="0.1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5" x14ac:dyDescent="0.1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5" x14ac:dyDescent="0.1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5" x14ac:dyDescent="0.1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5" x14ac:dyDescent="0.1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5" x14ac:dyDescent="0.1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5" x14ac:dyDescent="0.1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5" x14ac:dyDescent="0.1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5" x14ac:dyDescent="0.1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5" x14ac:dyDescent="0.1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5" x14ac:dyDescent="0.1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5" x14ac:dyDescent="0.1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5" x14ac:dyDescent="0.1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5" x14ac:dyDescent="0.1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5" x14ac:dyDescent="0.1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5" x14ac:dyDescent="0.1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5" x14ac:dyDescent="0.1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5" x14ac:dyDescent="0.1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5" x14ac:dyDescent="0.1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5" x14ac:dyDescent="0.1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5" x14ac:dyDescent="0.1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5" x14ac:dyDescent="0.1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5" x14ac:dyDescent="0.1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5" x14ac:dyDescent="0.1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5" x14ac:dyDescent="0.1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5" x14ac:dyDescent="0.1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5" x14ac:dyDescent="0.1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5" x14ac:dyDescent="0.1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5" x14ac:dyDescent="0.1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5" x14ac:dyDescent="0.1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5" x14ac:dyDescent="0.1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5" x14ac:dyDescent="0.1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5" x14ac:dyDescent="0.1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5" x14ac:dyDescent="0.1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5" x14ac:dyDescent="0.1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5" x14ac:dyDescent="0.1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5" x14ac:dyDescent="0.1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5" x14ac:dyDescent="0.1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5" x14ac:dyDescent="0.1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5" x14ac:dyDescent="0.1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5" x14ac:dyDescent="0.1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5" x14ac:dyDescent="0.1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5" x14ac:dyDescent="0.1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5" x14ac:dyDescent="0.1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5" x14ac:dyDescent="0.1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5" x14ac:dyDescent="0.1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5" x14ac:dyDescent="0.1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5" x14ac:dyDescent="0.1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5" x14ac:dyDescent="0.1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5" x14ac:dyDescent="0.1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5" x14ac:dyDescent="0.1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5" x14ac:dyDescent="0.1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5" x14ac:dyDescent="0.1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5" x14ac:dyDescent="0.1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5" x14ac:dyDescent="0.1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5" x14ac:dyDescent="0.1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5" x14ac:dyDescent="0.1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5" x14ac:dyDescent="0.1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5" x14ac:dyDescent="0.1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5" x14ac:dyDescent="0.1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5" x14ac:dyDescent="0.1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5" x14ac:dyDescent="0.1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5" x14ac:dyDescent="0.1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5" x14ac:dyDescent="0.1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5" x14ac:dyDescent="0.1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5" x14ac:dyDescent="0.1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5" x14ac:dyDescent="0.1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5" x14ac:dyDescent="0.1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5" x14ac:dyDescent="0.1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5" x14ac:dyDescent="0.1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5" x14ac:dyDescent="0.1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5" x14ac:dyDescent="0.1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5" x14ac:dyDescent="0.1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5" x14ac:dyDescent="0.1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5" x14ac:dyDescent="0.1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5" x14ac:dyDescent="0.1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5" x14ac:dyDescent="0.1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5" x14ac:dyDescent="0.1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5" x14ac:dyDescent="0.1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5" x14ac:dyDescent="0.1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5" x14ac:dyDescent="0.1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5" x14ac:dyDescent="0.1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5" x14ac:dyDescent="0.1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5" x14ac:dyDescent="0.1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5" x14ac:dyDescent="0.1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5" x14ac:dyDescent="0.1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5" x14ac:dyDescent="0.1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5" x14ac:dyDescent="0.1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5" x14ac:dyDescent="0.1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5" x14ac:dyDescent="0.1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5" x14ac:dyDescent="0.1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5" x14ac:dyDescent="0.1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5" x14ac:dyDescent="0.1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5" x14ac:dyDescent="0.1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5" x14ac:dyDescent="0.1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5" x14ac:dyDescent="0.1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5" x14ac:dyDescent="0.1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5" x14ac:dyDescent="0.1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5" x14ac:dyDescent="0.1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5" x14ac:dyDescent="0.1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5" x14ac:dyDescent="0.1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5" x14ac:dyDescent="0.1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5" x14ac:dyDescent="0.1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5" x14ac:dyDescent="0.1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5" x14ac:dyDescent="0.1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5" x14ac:dyDescent="0.1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5" x14ac:dyDescent="0.1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5" x14ac:dyDescent="0.1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5" x14ac:dyDescent="0.1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5" x14ac:dyDescent="0.1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5" x14ac:dyDescent="0.1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5" x14ac:dyDescent="0.1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5" x14ac:dyDescent="0.1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5" x14ac:dyDescent="0.1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5" x14ac:dyDescent="0.1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5" x14ac:dyDescent="0.1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5" x14ac:dyDescent="0.1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5" x14ac:dyDescent="0.1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5" x14ac:dyDescent="0.1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5" x14ac:dyDescent="0.1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5" x14ac:dyDescent="0.1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5" x14ac:dyDescent="0.1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5" x14ac:dyDescent="0.1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5" x14ac:dyDescent="0.1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5" x14ac:dyDescent="0.1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5" x14ac:dyDescent="0.1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5" x14ac:dyDescent="0.1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5" x14ac:dyDescent="0.1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5" x14ac:dyDescent="0.1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5" x14ac:dyDescent="0.1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5" x14ac:dyDescent="0.1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5" x14ac:dyDescent="0.1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5" x14ac:dyDescent="0.1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5" x14ac:dyDescent="0.1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5" x14ac:dyDescent="0.1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5" x14ac:dyDescent="0.1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5" x14ac:dyDescent="0.1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5" x14ac:dyDescent="0.1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5" x14ac:dyDescent="0.1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5" x14ac:dyDescent="0.1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5" x14ac:dyDescent="0.1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5" x14ac:dyDescent="0.1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2" si="299">C157/C$7-1</f>
        <v>1.1103529566555768</v>
      </c>
      <c r="O157" s="61" t="e">
        <f t="shared" ref="O157:O162" si="300">G157/G$7-1</f>
        <v>#REF!</v>
      </c>
      <c r="P157" s="61" t="e">
        <f t="shared" ref="P157:P162" si="301">J157/J$7-1</f>
        <v>#REF!</v>
      </c>
      <c r="Q157" s="61">
        <f t="shared" ref="Q157:Q162" si="302">L157/L$7-1</f>
        <v>0.58645361164495258</v>
      </c>
      <c r="R157" s="61">
        <f t="shared" ref="R157:R162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5" x14ac:dyDescent="0.1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5" x14ac:dyDescent="0.1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5" x14ac:dyDescent="0.1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5" x14ac:dyDescent="0.1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5" x14ac:dyDescent="0.1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5" x14ac:dyDescent="0.1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" si="304">C163/C$7-1</f>
        <v>0.91120176537534836</v>
      </c>
      <c r="O163" s="61" t="e">
        <f t="shared" ref="O163" si="305">G163/G$7-1</f>
        <v>#REF!</v>
      </c>
      <c r="P163" s="61" t="e">
        <f t="shared" ref="P163" si="306">J163/J$7-1</f>
        <v>#REF!</v>
      </c>
      <c r="Q163" s="61">
        <f t="shared" ref="Q163" si="307">L163/L$7-1</f>
        <v>0.60519697909051673</v>
      </c>
      <c r="R163" s="61">
        <f t="shared" ref="R163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5" x14ac:dyDescent="0.1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68" si="309">C164/C$7-1</f>
        <v>0.89756178531013231</v>
      </c>
      <c r="O164" s="61" t="e">
        <f t="shared" ref="O164:O168" si="310">G164/G$7-1</f>
        <v>#REF!</v>
      </c>
      <c r="P164" s="61" t="e">
        <f t="shared" ref="P164:P168" si="311">J164/J$7-1</f>
        <v>#REF!</v>
      </c>
      <c r="Q164" s="61">
        <f t="shared" ref="Q164:Q168" si="312">L164/L$7-1</f>
        <v>0.61017308972569739</v>
      </c>
      <c r="R164" s="61">
        <f t="shared" ref="R164:R168" si="313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5" x14ac:dyDescent="0.1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9"/>
        <v>0.91640984881711951</v>
      </c>
      <c r="O165" s="61" t="e">
        <f t="shared" si="310"/>
        <v>#REF!</v>
      </c>
      <c r="P165" s="61" t="e">
        <f t="shared" si="311"/>
        <v>#REF!</v>
      </c>
      <c r="Q165" s="61">
        <f t="shared" si="312"/>
        <v>0.6230043161485499</v>
      </c>
      <c r="R165" s="61">
        <f t="shared" si="31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5" x14ac:dyDescent="0.1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9"/>
        <v>0.96151924377058196</v>
      </c>
      <c r="O166" s="61" t="e">
        <f t="shared" si="310"/>
        <v>#REF!</v>
      </c>
      <c r="P166" s="61" t="e">
        <f t="shared" si="311"/>
        <v>#REF!</v>
      </c>
      <c r="Q166" s="61">
        <f t="shared" si="312"/>
        <v>0.61586309715749632</v>
      </c>
      <c r="R166" s="61">
        <f t="shared" si="31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5" x14ac:dyDescent="0.1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9"/>
        <v>0.98614532522049037</v>
      </c>
      <c r="O167" s="61" t="e">
        <f t="shared" si="310"/>
        <v>#REF!</v>
      </c>
      <c r="P167" s="61" t="e">
        <f t="shared" si="311"/>
        <v>#REF!</v>
      </c>
      <c r="Q167" s="61">
        <f t="shared" si="312"/>
        <v>0.64462546028689993</v>
      </c>
      <c r="R167" s="61">
        <f t="shared" si="31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5" x14ac:dyDescent="0.1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9"/>
        <v>0.94479244158292519</v>
      </c>
      <c r="O168" s="61" t="e">
        <f t="shared" si="310"/>
        <v>#REF!</v>
      </c>
      <c r="P168" s="61" t="e">
        <f t="shared" si="311"/>
        <v>#REF!</v>
      </c>
      <c r="Q168" s="61">
        <f t="shared" si="312"/>
        <v>0.61732911034780158</v>
      </c>
      <c r="R168" s="61">
        <f t="shared" si="31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5" x14ac:dyDescent="0.1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ref="N169:N171" si="314">C169/C$7-1</f>
        <v>0.93081870735688854</v>
      </c>
      <c r="O169" s="61" t="e">
        <f t="shared" ref="O169:O171" si="315">G169/G$7-1</f>
        <v>#REF!</v>
      </c>
      <c r="P169" s="61" t="e">
        <f t="shared" ref="P169:P171" si="316">J169/J$7-1</f>
        <v>#REF!</v>
      </c>
      <c r="Q169" s="61">
        <f t="shared" ref="Q169:Q171" si="317">L169/L$7-1</f>
        <v>0.60660550074515251</v>
      </c>
      <c r="R169" s="61">
        <f t="shared" ref="R169:R171" si="318">M169/M$7-1</f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5" x14ac:dyDescent="0.1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14"/>
        <v>1.0138596019343522</v>
      </c>
      <c r="O170" s="61" t="e">
        <f t="shared" si="315"/>
        <v>#REF!</v>
      </c>
      <c r="P170" s="61" t="e">
        <f t="shared" si="316"/>
        <v>#REF!</v>
      </c>
      <c r="Q170" s="61">
        <f t="shared" si="317"/>
        <v>0.6309007164448508</v>
      </c>
      <c r="R170" s="61">
        <f t="shared" si="31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5" x14ac:dyDescent="0.15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109275.93</v>
      </c>
      <c r="M171" s="60">
        <v>760.74</v>
      </c>
      <c r="N171" s="61">
        <f t="shared" si="314"/>
        <v>1.1068060162983819</v>
      </c>
      <c r="O171" s="61" t="e">
        <f t="shared" si="315"/>
        <v>#REF!</v>
      </c>
      <c r="P171" s="61" t="e">
        <f t="shared" si="316"/>
        <v>#REF!</v>
      </c>
      <c r="Q171" s="61">
        <f t="shared" si="317"/>
        <v>0.6580578879185166</v>
      </c>
      <c r="R171" s="61">
        <f t="shared" si="318"/>
        <v>0.50728140912603292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5" x14ac:dyDescent="0.15">
      <c r="A172" s="55">
        <v>46273</v>
      </c>
      <c r="B172" s="56">
        <v>26181198</v>
      </c>
      <c r="C172" s="79">
        <v>21.147346969436292</v>
      </c>
      <c r="D172" s="58">
        <v>1238037</v>
      </c>
      <c r="E172" s="58">
        <v>98160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v>41122860</v>
      </c>
      <c r="L172" s="60">
        <v>108777.60000000001</v>
      </c>
      <c r="M172" s="60">
        <v>756.79</v>
      </c>
      <c r="N172" s="61">
        <f t="shared" ref="N172:N175" si="319">C172/C$7-1</f>
        <v>1.1147346969436294</v>
      </c>
      <c r="O172" s="61" t="e">
        <f t="shared" ref="O172:O175" si="320">G172/G$7-1</f>
        <v>#REF!</v>
      </c>
      <c r="P172" s="61" t="e">
        <f t="shared" ref="P172:P175" si="321">J172/J$7-1</f>
        <v>#REF!</v>
      </c>
      <c r="Q172" s="61">
        <f t="shared" ref="Q172:Q175" si="322">L172/L$7-1</f>
        <v>0.65049666206313916</v>
      </c>
      <c r="R172" s="61">
        <f t="shared" ref="R172:R175" si="323">M172/M$7-1</f>
        <v>0.49945513265043284</v>
      </c>
      <c r="S172" s="83">
        <v>-0.11121736635746404</v>
      </c>
      <c r="T172" s="62">
        <v>1.5707019976702365</v>
      </c>
      <c r="U172" s="62">
        <v>0</v>
      </c>
    </row>
    <row r="173" spans="1:21" ht="15" x14ac:dyDescent="0.15">
      <c r="A173" s="55">
        <v>46274</v>
      </c>
      <c r="B173" s="56">
        <v>25271091</v>
      </c>
      <c r="C173" s="79">
        <v>20.412225967398388</v>
      </c>
      <c r="D173" s="58">
        <v>1238037</v>
      </c>
      <c r="E173" s="58">
        <v>-910107</v>
      </c>
      <c r="F173" s="58">
        <v>16182750.353</v>
      </c>
      <c r="G173" s="79" t="e">
        <v>#REF!</v>
      </c>
      <c r="H173" s="58" t="e">
        <v>#REF!</v>
      </c>
      <c r="I173" s="59">
        <v>5551891.5239139982</v>
      </c>
      <c r="J173" s="79">
        <v>3.387033201567561</v>
      </c>
      <c r="K173" s="59">
        <v>38349360</v>
      </c>
      <c r="L173" s="60">
        <v>108959.9</v>
      </c>
      <c r="M173" s="60">
        <v>758.49</v>
      </c>
      <c r="N173" s="61">
        <f t="shared" si="319"/>
        <v>1.0412225967398387</v>
      </c>
      <c r="O173" s="61" t="e">
        <f t="shared" si="320"/>
        <v>#REF!</v>
      </c>
      <c r="P173" s="61" t="e">
        <f t="shared" si="321"/>
        <v>#REF!</v>
      </c>
      <c r="Q173" s="61">
        <f t="shared" si="322"/>
        <v>0.65326272365572891</v>
      </c>
      <c r="R173" s="61">
        <f t="shared" si="323"/>
        <v>0.50282340353866584</v>
      </c>
      <c r="S173" s="83">
        <v>-0.14211309910263892</v>
      </c>
      <c r="T173" s="62">
        <v>1.517518970589754</v>
      </c>
      <c r="U173" s="62">
        <v>0</v>
      </c>
    </row>
    <row r="174" spans="1:21" ht="15" x14ac:dyDescent="0.15">
      <c r="A174" s="55">
        <v>46275</v>
      </c>
      <c r="B174" s="56">
        <v>25329353</v>
      </c>
      <c r="C174" s="79">
        <v>20.459285950258352</v>
      </c>
      <c r="D174" s="58">
        <v>1238037</v>
      </c>
      <c r="E174" s="58">
        <v>58262</v>
      </c>
      <c r="F174" s="58">
        <v>16182750.353</v>
      </c>
      <c r="G174" s="79" t="e">
        <v>#REF!</v>
      </c>
      <c r="H174" s="58" t="e">
        <v>#REF!</v>
      </c>
      <c r="I174" s="59">
        <v>5551891.5239139982</v>
      </c>
      <c r="J174" s="79">
        <v>3.387033201567561</v>
      </c>
      <c r="K174" s="59">
        <v>38426404</v>
      </c>
      <c r="L174" s="60">
        <v>108399.7</v>
      </c>
      <c r="M174" s="60">
        <v>753.21</v>
      </c>
      <c r="N174" s="61">
        <f t="shared" si="319"/>
        <v>1.0459285950258352</v>
      </c>
      <c r="O174" s="61" t="e">
        <f t="shared" si="320"/>
        <v>#REF!</v>
      </c>
      <c r="P174" s="61" t="e">
        <f t="shared" si="321"/>
        <v>#REF!</v>
      </c>
      <c r="Q174" s="61">
        <f t="shared" si="322"/>
        <v>0.64476273624942682</v>
      </c>
      <c r="R174" s="61">
        <f t="shared" si="323"/>
        <v>0.49236195042697806</v>
      </c>
      <c r="S174" s="83">
        <v>-0.14013525783650271</v>
      </c>
      <c r="T174" s="62">
        <v>1.5170700965002935</v>
      </c>
      <c r="U174" s="62">
        <v>0</v>
      </c>
    </row>
    <row r="175" spans="1:21" ht="15" x14ac:dyDescent="0.15">
      <c r="A175" s="55">
        <v>46276</v>
      </c>
      <c r="B175" s="56">
        <v>25085992</v>
      </c>
      <c r="C175" s="79">
        <v>20.26271589621312</v>
      </c>
      <c r="D175" s="58">
        <v>1238037</v>
      </c>
      <c r="E175" s="58">
        <v>-243361</v>
      </c>
      <c r="F175" s="58">
        <v>16182750.353</v>
      </c>
      <c r="G175" s="79" t="e">
        <v>#REF!</v>
      </c>
      <c r="H175" s="58" t="e">
        <v>#REF!</v>
      </c>
      <c r="I175" s="59">
        <v>5551891.5239139982</v>
      </c>
      <c r="J175" s="79">
        <v>3.387033201567561</v>
      </c>
      <c r="K175" s="59">
        <v>38194080</v>
      </c>
      <c r="L175" s="60">
        <v>106654.71</v>
      </c>
      <c r="M175" s="60">
        <v>735.15</v>
      </c>
      <c r="N175" s="61">
        <f t="shared" si="319"/>
        <v>1.0262715896213122</v>
      </c>
      <c r="O175" s="61" t="e">
        <f t="shared" si="320"/>
        <v>#REF!</v>
      </c>
      <c r="P175" s="61" t="e">
        <f t="shared" si="321"/>
        <v>#REF!</v>
      </c>
      <c r="Q175" s="61">
        <f t="shared" si="322"/>
        <v>0.6182857761920848</v>
      </c>
      <c r="R175" s="61">
        <f t="shared" si="323"/>
        <v>0.45657902557904539</v>
      </c>
      <c r="S175" s="83">
        <v>-0.14839672205620258</v>
      </c>
      <c r="T175" s="62">
        <v>1.5225261970903921</v>
      </c>
      <c r="U175" s="62">
        <v>0</v>
      </c>
    </row>
    <row r="176" spans="1:21" ht="15" x14ac:dyDescent="0.15">
      <c r="A176" s="55">
        <v>46279</v>
      </c>
      <c r="B176" s="56">
        <v>25307211</v>
      </c>
      <c r="C176" s="79">
        <v>20.44140118590963</v>
      </c>
      <c r="D176" s="58">
        <v>1238037</v>
      </c>
      <c r="E176" s="58">
        <v>221219</v>
      </c>
      <c r="F176" s="58">
        <v>16182750.353</v>
      </c>
      <c r="G176" s="79" t="e">
        <v>#REF!</v>
      </c>
      <c r="H176" s="58" t="e">
        <v>#REF!</v>
      </c>
      <c r="I176" s="59">
        <v>5551891.5239139982</v>
      </c>
      <c r="J176" s="79">
        <v>3.387033201567561</v>
      </c>
      <c r="K176" s="59">
        <v>38709708</v>
      </c>
      <c r="L176" s="60">
        <v>105910.88</v>
      </c>
      <c r="M176" s="60">
        <v>733.57</v>
      </c>
      <c r="N176" s="61">
        <f t="shared" ref="N176:N178" si="324">C176/C$7-1</f>
        <v>1.0441401185909629</v>
      </c>
      <c r="O176" s="61" t="e">
        <f t="shared" ref="O176:O178" si="325">G176/G$7-1</f>
        <v>#REF!</v>
      </c>
      <c r="P176" s="61" t="e">
        <f t="shared" ref="P176:P178" si="326">J176/J$7-1</f>
        <v>#REF!</v>
      </c>
      <c r="Q176" s="61">
        <f t="shared" ref="Q176:Q178" si="327">L176/L$7-1</f>
        <v>0.60699954693033953</v>
      </c>
      <c r="R176" s="61">
        <f t="shared" ref="R176:R178" si="328">M176/M$7-1</f>
        <v>0.45344851498880567</v>
      </c>
      <c r="S176" s="83">
        <v>-0.14088692034920025</v>
      </c>
      <c r="T176" s="62">
        <v>1.5295920202348652</v>
      </c>
      <c r="U176" s="62">
        <v>0</v>
      </c>
    </row>
    <row r="177" spans="1:21" ht="15" x14ac:dyDescent="0.15">
      <c r="A177" s="55">
        <v>46280</v>
      </c>
      <c r="B177" s="56">
        <v>25061684</v>
      </c>
      <c r="C177" s="79">
        <v>20.243081588030083</v>
      </c>
      <c r="D177" s="58">
        <v>1238037</v>
      </c>
      <c r="E177" s="58">
        <v>-245527</v>
      </c>
      <c r="F177" s="58">
        <v>16182750.353</v>
      </c>
      <c r="G177" s="79" t="e">
        <v>#REF!</v>
      </c>
      <c r="H177" s="58" t="e">
        <v>#REF!</v>
      </c>
      <c r="I177" s="59">
        <v>5551891.5239139982</v>
      </c>
      <c r="J177" s="79">
        <v>3.387033201567561</v>
      </c>
      <c r="K177" s="59">
        <v>39037155</v>
      </c>
      <c r="L177" s="60">
        <v>105100.3</v>
      </c>
      <c r="M177" s="60">
        <v>722.55</v>
      </c>
      <c r="N177" s="61">
        <f t="shared" si="324"/>
        <v>1.0243081588030085</v>
      </c>
      <c r="O177" s="61" t="e">
        <f t="shared" si="325"/>
        <v>#REF!</v>
      </c>
      <c r="P177" s="61" t="e">
        <f t="shared" si="326"/>
        <v>#REF!</v>
      </c>
      <c r="Q177" s="61">
        <f t="shared" si="327"/>
        <v>0.59470051124344114</v>
      </c>
      <c r="R177" s="61">
        <f t="shared" si="328"/>
        <v>0.4316141942897902</v>
      </c>
      <c r="S177" s="83">
        <v>-0.14922191455727096</v>
      </c>
      <c r="T177" s="62">
        <v>1.5576429341300448</v>
      </c>
      <c r="U177" s="62">
        <v>0</v>
      </c>
    </row>
    <row r="178" spans="1:21" ht="15" x14ac:dyDescent="0.15">
      <c r="A178" s="55">
        <v>46281</v>
      </c>
      <c r="B178" s="56">
        <v>24919580</v>
      </c>
      <c r="C178" s="79">
        <v>20.128299881182873</v>
      </c>
      <c r="D178" s="58">
        <v>1238037</v>
      </c>
      <c r="E178" s="58">
        <v>-142104</v>
      </c>
      <c r="F178" s="58">
        <v>16182750.353</v>
      </c>
      <c r="G178" s="79" t="e">
        <v>#REF!</v>
      </c>
      <c r="H178" s="58" t="e">
        <v>#REF!</v>
      </c>
      <c r="I178" s="59">
        <v>5551891.5239139982</v>
      </c>
      <c r="J178" s="79">
        <v>3.387033201567561</v>
      </c>
      <c r="K178" s="59">
        <v>31155934</v>
      </c>
      <c r="L178" s="60">
        <v>105783.45195</v>
      </c>
      <c r="M178" s="60">
        <v>740.75825999999984</v>
      </c>
      <c r="N178" s="61">
        <f t="shared" si="324"/>
        <v>1.0128299881182872</v>
      </c>
      <c r="O178" s="61" t="e">
        <f t="shared" si="325"/>
        <v>#REF!</v>
      </c>
      <c r="P178" s="61" t="e">
        <f t="shared" si="326"/>
        <v>#REF!</v>
      </c>
      <c r="Q178" s="61">
        <f t="shared" si="327"/>
        <v>0.60506606456652356</v>
      </c>
      <c r="R178" s="61">
        <f t="shared" si="328"/>
        <v>0.46769087198589254</v>
      </c>
      <c r="S178" s="83">
        <v>-0.15404597063641368</v>
      </c>
      <c r="T178" s="62">
        <v>1.250259193774534</v>
      </c>
      <c r="U178" s="62">
        <v>0</v>
      </c>
    </row>
    <row r="179" spans="1:21" ht="15" x14ac:dyDescent="0.15">
      <c r="A179" s="55">
        <v>46282</v>
      </c>
      <c r="B179" s="56">
        <v>25040014</v>
      </c>
      <c r="C179" s="79">
        <v>20.225578072383943</v>
      </c>
      <c r="D179" s="58">
        <v>1238037</v>
      </c>
      <c r="E179" s="58">
        <v>120434</v>
      </c>
      <c r="F179" s="58">
        <v>16182750.353</v>
      </c>
      <c r="G179" s="79" t="e">
        <v>#REF!</v>
      </c>
      <c r="H179" s="58" t="e">
        <v>#REF!</v>
      </c>
      <c r="I179" s="59">
        <v>5551891.5239139982</v>
      </c>
      <c r="J179" s="79">
        <v>3.387033201567561</v>
      </c>
      <c r="K179" s="59">
        <v>38217350</v>
      </c>
      <c r="L179" s="60">
        <v>106798.97308872001</v>
      </c>
      <c r="M179" s="60">
        <v>738.83228852399975</v>
      </c>
      <c r="N179" s="61">
        <f t="shared" ref="N179:N180" si="329">C179/C$7-1</f>
        <v>1.0225578072383943</v>
      </c>
      <c r="O179" s="61" t="e">
        <f t="shared" ref="O179:O180" si="330">G179/G$7-1</f>
        <v>#REF!</v>
      </c>
      <c r="P179" s="61" t="e">
        <f t="shared" ref="P179:P180" si="331">J179/J$7-1</f>
        <v>#REF!</v>
      </c>
      <c r="Q179" s="61">
        <f t="shared" ref="Q179:Q180" si="332">L179/L$7-1</f>
        <v>0.6204746987863623</v>
      </c>
      <c r="R179" s="61">
        <f t="shared" ref="R179:R180" si="333">M179/M$7-1</f>
        <v>0.46387487571872921</v>
      </c>
      <c r="S179" s="83">
        <v>-0.14995755391460797</v>
      </c>
      <c r="T179" s="62">
        <v>1.5262511434698081</v>
      </c>
      <c r="U179" s="62">
        <v>0</v>
      </c>
    </row>
    <row r="180" spans="1:21" ht="15" x14ac:dyDescent="0.15">
      <c r="A180" s="55">
        <v>46283</v>
      </c>
      <c r="B180" s="56">
        <v>25231890</v>
      </c>
      <c r="C180" s="79">
        <v>20.38056213182643</v>
      </c>
      <c r="D180" s="58">
        <v>1238037</v>
      </c>
      <c r="E180" s="58">
        <v>191876</v>
      </c>
      <c r="F180" s="58">
        <v>16182750.353</v>
      </c>
      <c r="G180" s="79" t="e">
        <v>#REF!</v>
      </c>
      <c r="H180" s="58" t="e">
        <v>#REF!</v>
      </c>
      <c r="I180" s="59">
        <v>5551891.5239139982</v>
      </c>
      <c r="J180" s="79">
        <v>3.387033201567561</v>
      </c>
      <c r="K180" s="59">
        <v>32380290</v>
      </c>
      <c r="L180" s="60">
        <v>109090.87</v>
      </c>
      <c r="M180" s="60">
        <v>767.08</v>
      </c>
      <c r="N180" s="61">
        <f t="shared" si="329"/>
        <v>1.0380562131826432</v>
      </c>
      <c r="O180" s="61" t="e">
        <f t="shared" si="330"/>
        <v>#REF!</v>
      </c>
      <c r="P180" s="61" t="e">
        <f t="shared" si="331"/>
        <v>#REF!</v>
      </c>
      <c r="Q180" s="61">
        <f t="shared" si="332"/>
        <v>0.65524994848722384</v>
      </c>
      <c r="R180" s="61">
        <f t="shared" si="333"/>
        <v>0.51984307820332476</v>
      </c>
      <c r="S180" s="83">
        <v>-0.14344386968164069</v>
      </c>
      <c r="T180" s="62">
        <v>1.2833081469521308</v>
      </c>
      <c r="U180" s="62">
        <v>0</v>
      </c>
    </row>
    <row r="181" spans="1:21" ht="15" x14ac:dyDescent="0.15">
      <c r="A181" s="55">
        <v>46286</v>
      </c>
      <c r="B181" s="56">
        <v>26559535</v>
      </c>
      <c r="C181" s="79">
        <v>21.45294122873549</v>
      </c>
      <c r="D181" s="58">
        <v>1238037</v>
      </c>
      <c r="E181" s="58">
        <v>1327645</v>
      </c>
      <c r="F181" s="58">
        <v>16182750.353</v>
      </c>
      <c r="G181" s="79" t="e">
        <v>#REF!</v>
      </c>
      <c r="H181" s="58" t="e">
        <v>#REF!</v>
      </c>
      <c r="I181" s="59">
        <v>5551891.5239139982</v>
      </c>
      <c r="J181" s="79">
        <v>3.387033201567561</v>
      </c>
      <c r="K181" s="59">
        <v>35418870</v>
      </c>
      <c r="L181" s="60">
        <v>110335.03999999999</v>
      </c>
      <c r="M181" s="60">
        <v>767.27</v>
      </c>
      <c r="N181" s="61">
        <f t="shared" ref="N181:N185" si="334">C181/C$7-1</f>
        <v>1.1452941228735489</v>
      </c>
      <c r="O181" s="61" t="e">
        <f t="shared" ref="O181:O185" si="335">G181/G$7-1</f>
        <v>#REF!</v>
      </c>
      <c r="P181" s="61" t="e">
        <f t="shared" ref="P181:P185" si="336">J181/J$7-1</f>
        <v>#REF!</v>
      </c>
      <c r="Q181" s="61">
        <f t="shared" ref="Q181:Q185" si="337">L181/L$7-1</f>
        <v>0.67412790159557612</v>
      </c>
      <c r="R181" s="61">
        <f t="shared" ref="R181:R185" si="338">M181/M$7-1</f>
        <v>0.52021953200848015</v>
      </c>
      <c r="S181" s="83">
        <v>-9.8373822862455995E-2</v>
      </c>
      <c r="T181" s="62">
        <v>1.3335651396005239</v>
      </c>
      <c r="U181" s="62">
        <v>0</v>
      </c>
    </row>
    <row r="182" spans="1:21" ht="15" x14ac:dyDescent="0.15">
      <c r="A182" s="55">
        <v>46287</v>
      </c>
      <c r="B182" s="56">
        <v>29447720</v>
      </c>
      <c r="C182" s="79">
        <v>23.785815771257241</v>
      </c>
      <c r="D182" s="58">
        <v>1238037</v>
      </c>
      <c r="E182" s="58">
        <v>2888185</v>
      </c>
      <c r="F182" s="58">
        <v>16182750.353</v>
      </c>
      <c r="G182" s="79" t="e">
        <v>#REF!</v>
      </c>
      <c r="H182" s="58" t="e">
        <v>#REF!</v>
      </c>
      <c r="I182" s="59">
        <v>5551891.5239139982</v>
      </c>
      <c r="J182" s="79">
        <v>3.387033201567561</v>
      </c>
      <c r="K182" s="59">
        <v>39450010</v>
      </c>
      <c r="L182" s="60">
        <v>110523.1</v>
      </c>
      <c r="M182" s="60">
        <v>772.11</v>
      </c>
      <c r="N182" s="61">
        <f t="shared" si="334"/>
        <v>1.3785815771257242</v>
      </c>
      <c r="O182" s="61" t="e">
        <f t="shared" si="335"/>
        <v>#REF!</v>
      </c>
      <c r="P182" s="61" t="e">
        <f t="shared" si="336"/>
        <v>#REF!</v>
      </c>
      <c r="Q182" s="61">
        <f t="shared" si="337"/>
        <v>0.6769813604167636</v>
      </c>
      <c r="R182" s="61">
        <f t="shared" si="338"/>
        <v>0.52980919736086074</v>
      </c>
      <c r="S182" s="83">
        <v>-3.2755810608886549E-4</v>
      </c>
      <c r="T182" s="62">
        <v>1.3396626292290201</v>
      </c>
      <c r="U182" s="62">
        <v>0</v>
      </c>
    </row>
    <row r="183" spans="1:21" ht="15" x14ac:dyDescent="0.15">
      <c r="A183" s="55">
        <v>46288</v>
      </c>
      <c r="B183" s="56">
        <v>29570290</v>
      </c>
      <c r="C183" s="79">
        <v>23.88481927438356</v>
      </c>
      <c r="D183" s="58">
        <v>1238037</v>
      </c>
      <c r="E183" s="58">
        <v>122570</v>
      </c>
      <c r="F183" s="58">
        <v>16182750.353</v>
      </c>
      <c r="G183" s="79" t="e">
        <v>#REF!</v>
      </c>
      <c r="H183" s="58" t="e">
        <v>#REF!</v>
      </c>
      <c r="I183" s="59">
        <v>5551891.5239139982</v>
      </c>
      <c r="J183" s="79">
        <v>3.387033201567561</v>
      </c>
      <c r="K183" s="59">
        <v>39572580</v>
      </c>
      <c r="L183" s="60">
        <v>111356.64</v>
      </c>
      <c r="M183" s="60">
        <v>769.49</v>
      </c>
      <c r="N183" s="61">
        <f t="shared" si="334"/>
        <v>1.388481927438356</v>
      </c>
      <c r="O183" s="61" t="e">
        <f t="shared" si="335"/>
        <v>#REF!</v>
      </c>
      <c r="P183" s="61" t="e">
        <f t="shared" si="336"/>
        <v>#REF!</v>
      </c>
      <c r="Q183" s="61">
        <f t="shared" si="337"/>
        <v>0.68962877116765431</v>
      </c>
      <c r="R183" s="61">
        <f t="shared" si="338"/>
        <v>0.52461809752134902</v>
      </c>
      <c r="S183" s="83">
        <v>0</v>
      </c>
      <c r="T183" s="62">
        <v>1.3382547144448025</v>
      </c>
      <c r="U183" s="62">
        <v>0</v>
      </c>
    </row>
    <row r="184" spans="1:21" ht="15" x14ac:dyDescent="0.15">
      <c r="A184" s="55">
        <v>46289</v>
      </c>
      <c r="B184" s="56">
        <v>30158931</v>
      </c>
      <c r="C184" s="79">
        <v>24.360282447132033</v>
      </c>
      <c r="D184" s="58">
        <v>1238037</v>
      </c>
      <c r="E184" s="58">
        <v>588641</v>
      </c>
      <c r="F184" s="58">
        <v>16182750.353</v>
      </c>
      <c r="G184" s="79" t="e">
        <v>#REF!</v>
      </c>
      <c r="H184" s="58" t="e">
        <v>#REF!</v>
      </c>
      <c r="I184" s="59">
        <v>5551891.5239139982</v>
      </c>
      <c r="J184" s="79">
        <v>3.387033201567561</v>
      </c>
      <c r="K184" s="59">
        <v>40246780</v>
      </c>
      <c r="L184" s="60">
        <v>111049.87</v>
      </c>
      <c r="M184" s="60">
        <v>768.06</v>
      </c>
      <c r="N184" s="61">
        <f t="shared" si="334"/>
        <v>1.4360282447132033</v>
      </c>
      <c r="O184" s="61" t="e">
        <f t="shared" si="335"/>
        <v>#REF!</v>
      </c>
      <c r="P184" s="61" t="e">
        <f t="shared" si="336"/>
        <v>#REF!</v>
      </c>
      <c r="Q184" s="61">
        <f t="shared" si="337"/>
        <v>0.68497411008834108</v>
      </c>
      <c r="R184" s="61">
        <f t="shared" si="338"/>
        <v>0.52178478730360012</v>
      </c>
      <c r="S184" s="83">
        <v>0</v>
      </c>
      <c r="T184" s="62">
        <v>1.3344896077384176</v>
      </c>
      <c r="U184" s="62">
        <v>0</v>
      </c>
    </row>
    <row r="185" spans="1:21" ht="17.100000000000001" customHeight="1" x14ac:dyDescent="0.15">
      <c r="A185" s="55">
        <v>46294</v>
      </c>
      <c r="B185" s="56">
        <f>按股票分類!D17</f>
        <v>27996484.5</v>
      </c>
      <c r="C185" s="79">
        <f>B185/D185</f>
        <v>22.613608882448585</v>
      </c>
      <c r="D185" s="58">
        <v>1238037</v>
      </c>
      <c r="E185" s="58">
        <f>B185-B184</f>
        <v>-2162446.5</v>
      </c>
      <c r="F185" s="58">
        <v>16182750.353</v>
      </c>
      <c r="G185" s="79" t="e">
        <v>#REF!</v>
      </c>
      <c r="H185" s="58" t="e">
        <v>#REF!</v>
      </c>
      <c r="I185" s="59">
        <v>5551891.5239139982</v>
      </c>
      <c r="J185" s="79">
        <v>3.387033201567561</v>
      </c>
      <c r="K185" s="59">
        <f>按股票分類!D9</f>
        <v>18334327.5</v>
      </c>
      <c r="L185" s="60">
        <v>111049.87</v>
      </c>
      <c r="M185" s="60">
        <v>768.06</v>
      </c>
      <c r="N185" s="61">
        <f t="shared" si="334"/>
        <v>1.2613608882448584</v>
      </c>
      <c r="O185" s="61" t="e">
        <f t="shared" si="335"/>
        <v>#REF!</v>
      </c>
      <c r="P185" s="61" t="e">
        <f t="shared" si="336"/>
        <v>#REF!</v>
      </c>
      <c r="Q185" s="61">
        <f t="shared" si="337"/>
        <v>0.68497411008834108</v>
      </c>
      <c r="R185" s="61">
        <f t="shared" si="338"/>
        <v>0.52178478730360012</v>
      </c>
      <c r="S185" s="83">
        <f>C185/MAX($C$7:C185)-1</f>
        <v>-7.1701695925495579E-2</v>
      </c>
      <c r="T185" s="62">
        <f>K185/B185</f>
        <v>0.65487963319108866</v>
      </c>
      <c r="U185" s="62">
        <v>0</v>
      </c>
    </row>
    <row r="186" spans="1:21" ht="15" x14ac:dyDescent="0.15">
      <c r="A186" s="55"/>
      <c r="B186" s="56"/>
      <c r="C186" s="61"/>
      <c r="D186" s="56"/>
      <c r="F186" s="58"/>
      <c r="G186" s="58"/>
      <c r="H186" s="58"/>
      <c r="I186" s="59"/>
      <c r="J186" s="59"/>
      <c r="K186" s="59"/>
      <c r="L186" s="60"/>
      <c r="M186" s="84"/>
      <c r="N186" s="61"/>
      <c r="O186" s="61"/>
      <c r="P186" s="61"/>
      <c r="Q186" s="61"/>
      <c r="R186" s="61"/>
      <c r="S186" s="61"/>
      <c r="T186" s="62"/>
      <c r="U186" s="62"/>
    </row>
    <row r="187" spans="1:21" ht="15" x14ac:dyDescent="0.15">
      <c r="A187" s="55"/>
      <c r="B187" s="56"/>
      <c r="C187" s="56"/>
      <c r="D187" s="56"/>
      <c r="E187" s="57"/>
      <c r="F187" s="58"/>
      <c r="G187" s="58"/>
      <c r="H187" s="58"/>
      <c r="I187" s="59"/>
      <c r="J187" s="59"/>
      <c r="K187" s="59"/>
      <c r="L187" s="60"/>
      <c r="M187" s="60"/>
      <c r="N187" s="61"/>
      <c r="O187" s="61"/>
      <c r="P187" s="61"/>
      <c r="Q187" s="61"/>
      <c r="R187" s="61"/>
      <c r="S187" s="61"/>
      <c r="T187" s="62"/>
      <c r="U187" s="62"/>
    </row>
    <row r="188" spans="1:21" ht="15" x14ac:dyDescent="0.15">
      <c r="A188" s="55"/>
      <c r="B188" s="56"/>
      <c r="C188" s="56"/>
      <c r="D188" s="56"/>
      <c r="E188" s="57"/>
      <c r="F188" s="58"/>
      <c r="G188" s="58"/>
      <c r="H188" s="58"/>
      <c r="I188" s="59"/>
      <c r="J188" s="59"/>
      <c r="K188" s="59"/>
      <c r="L188" s="60"/>
      <c r="M188" s="60"/>
      <c r="N188" s="61"/>
      <c r="O188" s="61"/>
      <c r="P188" s="61"/>
      <c r="Q188" s="61"/>
      <c r="R188" s="61"/>
      <c r="S188" s="61"/>
      <c r="T188" s="62"/>
      <c r="U188" s="62"/>
    </row>
    <row r="189" spans="1:21" ht="15" x14ac:dyDescent="0.15">
      <c r="A189" s="55"/>
      <c r="B189" s="56"/>
      <c r="C189" s="56"/>
      <c r="D189" s="56"/>
      <c r="E189" s="57"/>
      <c r="F189" s="58"/>
      <c r="G189" s="58"/>
      <c r="H189" s="58"/>
      <c r="I189" s="59"/>
      <c r="J189" s="59"/>
      <c r="K189" s="59"/>
      <c r="L189" s="60"/>
      <c r="M189" s="60"/>
      <c r="N189" s="61"/>
      <c r="O189" s="61"/>
      <c r="P189" s="61"/>
      <c r="Q189" s="61"/>
      <c r="R189" s="61"/>
      <c r="S189" s="61"/>
      <c r="T189" s="62"/>
      <c r="U189" s="62"/>
    </row>
    <row r="190" spans="1:21" ht="15" x14ac:dyDescent="0.15">
      <c r="A190" s="55"/>
      <c r="B190" s="56"/>
      <c r="C190" s="56"/>
      <c r="D190" s="56"/>
      <c r="E190" s="57"/>
      <c r="F190" s="58"/>
      <c r="G190" s="58"/>
      <c r="H190" s="58"/>
      <c r="I190" s="59"/>
      <c r="J190" s="59"/>
      <c r="K190" s="59"/>
      <c r="L190" s="60"/>
      <c r="M190" s="60"/>
      <c r="N190" s="61"/>
      <c r="O190" s="61"/>
      <c r="P190" s="61"/>
      <c r="Q190" s="61"/>
      <c r="R190" s="61"/>
      <c r="S190" s="61"/>
      <c r="T190" s="62"/>
      <c r="U190" s="62"/>
    </row>
    <row r="191" spans="1:21" ht="15" x14ac:dyDescent="0.15">
      <c r="A191" s="55"/>
      <c r="B191" s="56"/>
      <c r="C191" s="56"/>
      <c r="D191" s="56"/>
      <c r="E191" s="57"/>
      <c r="F191" s="58"/>
      <c r="G191" s="58"/>
      <c r="H191" s="58"/>
      <c r="I191" s="59"/>
      <c r="J191" s="59"/>
      <c r="K191" s="59"/>
      <c r="L191" s="60"/>
      <c r="M191" s="60"/>
      <c r="N191" s="61"/>
      <c r="O191" s="61"/>
      <c r="P191" s="61"/>
      <c r="Q191" s="61"/>
      <c r="R191" s="61"/>
      <c r="S191" s="61"/>
      <c r="T191" s="62"/>
      <c r="U191" s="62"/>
    </row>
    <row r="192" spans="1:21" ht="15" x14ac:dyDescent="0.15">
      <c r="A192" s="55"/>
      <c r="B192" s="56"/>
      <c r="C192" s="56"/>
      <c r="D192" s="56"/>
      <c r="E192" s="57"/>
      <c r="F192" s="58"/>
      <c r="G192" s="58"/>
      <c r="H192" s="58"/>
      <c r="I192" s="59"/>
      <c r="J192" s="59"/>
      <c r="K192" s="59"/>
      <c r="L192" s="60"/>
      <c r="M192" s="60"/>
      <c r="N192" s="61"/>
      <c r="O192" s="61"/>
      <c r="P192" s="61"/>
      <c r="Q192" s="58"/>
      <c r="R192" s="61"/>
      <c r="S192" s="61"/>
      <c r="T192" s="62"/>
      <c r="U192" s="62"/>
    </row>
    <row r="193" spans="1:23" ht="15" x14ac:dyDescent="0.15">
      <c r="A193" s="55"/>
      <c r="B193" s="56"/>
      <c r="C193" s="56"/>
      <c r="D193" s="56"/>
      <c r="E193" s="57"/>
      <c r="F193" s="58"/>
      <c r="G193" s="58"/>
      <c r="H193" s="58"/>
      <c r="I193" s="59"/>
      <c r="J193" s="59"/>
      <c r="K193" s="59"/>
      <c r="L193" s="60"/>
      <c r="M193" s="60"/>
      <c r="N193" s="61"/>
      <c r="O193" s="61"/>
      <c r="P193" s="61"/>
      <c r="Q193" s="58"/>
      <c r="R193" s="82"/>
      <c r="S193" s="61"/>
      <c r="T193" s="62"/>
      <c r="U193" s="62"/>
    </row>
    <row r="194" spans="1:23" ht="15" x14ac:dyDescent="0.15">
      <c r="A194" s="55"/>
      <c r="B194" s="56"/>
      <c r="C194" s="56"/>
      <c r="D194" s="56"/>
      <c r="E194" s="57"/>
      <c r="F194" s="58"/>
      <c r="G194" s="58"/>
      <c r="H194" s="58"/>
      <c r="I194" s="59"/>
      <c r="J194" s="59"/>
      <c r="K194" s="59"/>
      <c r="L194" s="60"/>
      <c r="M194" s="60"/>
      <c r="N194" s="61"/>
      <c r="O194" s="61"/>
      <c r="P194" s="61"/>
      <c r="Q194" s="58"/>
      <c r="R194" s="61"/>
      <c r="S194" s="61"/>
      <c r="T194" s="62"/>
      <c r="U194" s="62"/>
    </row>
    <row r="195" spans="1:23" ht="15" x14ac:dyDescent="0.15">
      <c r="A195" s="55"/>
      <c r="B195" s="56"/>
      <c r="C195" s="56"/>
      <c r="D195" s="56"/>
      <c r="E195" s="57"/>
      <c r="F195" s="58"/>
      <c r="G195" s="58"/>
      <c r="H195" s="58"/>
      <c r="I195" s="59"/>
      <c r="J195" s="59"/>
      <c r="K195" s="59"/>
      <c r="L195" s="60"/>
      <c r="M195" s="60"/>
      <c r="N195" s="61"/>
      <c r="O195" s="61"/>
      <c r="P195" s="61"/>
      <c r="Q195" s="58"/>
      <c r="R195" s="61" t="s">
        <v>21</v>
      </c>
      <c r="S195" s="61"/>
      <c r="T195" s="62"/>
      <c r="U195" s="62"/>
    </row>
    <row r="196" spans="1:23" ht="15" x14ac:dyDescent="0.15">
      <c r="A196" s="55"/>
      <c r="B196" s="56"/>
      <c r="C196" s="56"/>
      <c r="D196" s="56"/>
      <c r="E196" s="57"/>
      <c r="F196" s="58"/>
      <c r="G196" s="58"/>
      <c r="H196" s="58"/>
      <c r="I196" s="59"/>
      <c r="J196" s="59"/>
      <c r="K196" s="59"/>
      <c r="L196" s="60"/>
      <c r="M196" s="60"/>
      <c r="N196" s="61"/>
      <c r="O196" s="61"/>
      <c r="P196" s="61"/>
      <c r="Q196" s="61"/>
      <c r="R196" s="61"/>
      <c r="S196" s="61"/>
      <c r="T196" s="62"/>
      <c r="U196" s="62"/>
    </row>
    <row r="197" spans="1:23" ht="15" x14ac:dyDescent="0.15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58"/>
      <c r="R197" s="61"/>
      <c r="S197" s="61"/>
      <c r="T197" s="62"/>
      <c r="U197" s="62"/>
    </row>
    <row r="198" spans="1:23" ht="15" x14ac:dyDescent="0.1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58"/>
      <c r="R198" s="61"/>
      <c r="S198" s="61"/>
      <c r="T198" s="62"/>
      <c r="U198" s="62"/>
    </row>
    <row r="199" spans="1:23" ht="15" x14ac:dyDescent="0.1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61"/>
      <c r="R199" s="61"/>
      <c r="S199" s="61"/>
      <c r="T199" s="62"/>
      <c r="U199" s="62"/>
    </row>
    <row r="200" spans="1:23" ht="15" x14ac:dyDescent="0.1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61"/>
      <c r="R200" s="61"/>
      <c r="S200" s="61"/>
      <c r="T200" s="62"/>
      <c r="U200" s="62"/>
      <c r="W200" s="103"/>
    </row>
    <row r="201" spans="1:23" ht="15" x14ac:dyDescent="0.1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61"/>
      <c r="R201" s="61"/>
      <c r="S201" s="61"/>
      <c r="T201" s="62"/>
      <c r="U201" s="62"/>
    </row>
    <row r="202" spans="1:23" ht="15" x14ac:dyDescent="0.1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61"/>
      <c r="R202" s="61"/>
      <c r="S202" s="61"/>
      <c r="T202" s="62"/>
      <c r="U202" s="62"/>
    </row>
    <row r="203" spans="1:23" ht="15" x14ac:dyDescent="0.1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61"/>
      <c r="R203" s="61"/>
      <c r="S203" s="61"/>
      <c r="T203" s="62"/>
      <c r="U203" s="62"/>
    </row>
    <row r="204" spans="1:23" ht="15" x14ac:dyDescent="0.1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61"/>
      <c r="R204" s="61"/>
      <c r="S204" s="61"/>
      <c r="T204" s="62"/>
      <c r="U204" s="62"/>
    </row>
    <row r="205" spans="1:23" ht="15" x14ac:dyDescent="0.1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61"/>
      <c r="R205" s="61"/>
      <c r="S205" s="61"/>
      <c r="T205" s="62"/>
      <c r="U205" s="62"/>
    </row>
    <row r="206" spans="1:23" ht="15" x14ac:dyDescent="0.1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61"/>
      <c r="R206" s="61"/>
      <c r="S206" s="61"/>
      <c r="T206" s="62"/>
      <c r="U206" s="62"/>
    </row>
    <row r="207" spans="1:23" ht="15" x14ac:dyDescent="0.1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61"/>
      <c r="R207" s="61"/>
      <c r="S207" s="61"/>
      <c r="T207" s="62"/>
      <c r="U207" s="62"/>
    </row>
    <row r="208" spans="1:23" ht="15" x14ac:dyDescent="0.1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61"/>
      <c r="R208" s="61"/>
      <c r="S208" s="61"/>
      <c r="T208" s="62"/>
      <c r="U208" s="62"/>
    </row>
    <row r="209" spans="1:21" ht="15" x14ac:dyDescent="0.1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61"/>
      <c r="R209" s="61"/>
      <c r="S209" s="61"/>
      <c r="T209" s="62"/>
      <c r="U209" s="62"/>
    </row>
    <row r="210" spans="1:21" ht="15" x14ac:dyDescent="0.1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</row>
    <row r="211" spans="1:21" ht="15" x14ac:dyDescent="0.1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1" ht="15" x14ac:dyDescent="0.1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1" ht="15" x14ac:dyDescent="0.1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1" ht="15" x14ac:dyDescent="0.1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59"/>
      <c r="O214" s="61"/>
      <c r="P214" s="61"/>
      <c r="Q214" s="61"/>
      <c r="R214" s="61"/>
      <c r="S214" s="61"/>
      <c r="T214" s="62"/>
      <c r="U214" s="62"/>
    </row>
    <row r="215" spans="1:21" ht="15" x14ac:dyDescent="0.1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1" ht="15" x14ac:dyDescent="0.1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1" ht="15" x14ac:dyDescent="0.1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1" ht="15" x14ac:dyDescent="0.1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1" ht="15" x14ac:dyDescent="0.1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1" ht="15" x14ac:dyDescent="0.1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1" ht="15" x14ac:dyDescent="0.1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1" ht="15" x14ac:dyDescent="0.1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1" ht="15" x14ac:dyDescent="0.1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1" ht="15" x14ac:dyDescent="0.1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5" x14ac:dyDescent="0.1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5" x14ac:dyDescent="0.1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5" x14ac:dyDescent="0.1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5" x14ac:dyDescent="0.1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5" x14ac:dyDescent="0.1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5" x14ac:dyDescent="0.1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5" x14ac:dyDescent="0.1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5" x14ac:dyDescent="0.1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5" x14ac:dyDescent="0.1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5" x14ac:dyDescent="0.1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5" x14ac:dyDescent="0.1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5" x14ac:dyDescent="0.1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5" x14ac:dyDescent="0.1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5" x14ac:dyDescent="0.1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5" x14ac:dyDescent="0.1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5" x14ac:dyDescent="0.1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5" x14ac:dyDescent="0.1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5" x14ac:dyDescent="0.1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5" x14ac:dyDescent="0.1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5" x14ac:dyDescent="0.1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5" x14ac:dyDescent="0.1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5" x14ac:dyDescent="0.1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5" x14ac:dyDescent="0.1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5" x14ac:dyDescent="0.1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5" x14ac:dyDescent="0.1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5" x14ac:dyDescent="0.1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5" x14ac:dyDescent="0.1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5" x14ac:dyDescent="0.1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5" x14ac:dyDescent="0.1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5" x14ac:dyDescent="0.1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5" x14ac:dyDescent="0.1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5" x14ac:dyDescent="0.1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5" x14ac:dyDescent="0.1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5" x14ac:dyDescent="0.1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5" x14ac:dyDescent="0.1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5" x14ac:dyDescent="0.1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5" x14ac:dyDescent="0.1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5" x14ac:dyDescent="0.1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5" x14ac:dyDescent="0.1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5" x14ac:dyDescent="0.1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5" x14ac:dyDescent="0.1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5" x14ac:dyDescent="0.1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5" x14ac:dyDescent="0.1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5" x14ac:dyDescent="0.1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5" x14ac:dyDescent="0.15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5" x14ac:dyDescent="0.15">
      <c r="A270" s="55"/>
      <c r="B270" s="56"/>
      <c r="C270" s="56"/>
      <c r="D270" s="56"/>
      <c r="E270" s="57"/>
      <c r="F270" s="58"/>
      <c r="G270" s="58"/>
      <c r="H270" s="58"/>
      <c r="I270" s="59"/>
      <c r="J270" s="59"/>
      <c r="K270" s="59"/>
      <c r="L270" s="60"/>
      <c r="M270" s="60"/>
      <c r="N270" s="61"/>
      <c r="O270" s="61"/>
      <c r="P270" s="61"/>
      <c r="Q270" s="61"/>
      <c r="R270" s="61"/>
      <c r="S270" s="61"/>
      <c r="T270" s="62"/>
      <c r="U270" s="62"/>
    </row>
    <row r="271" spans="1:21" ht="15" x14ac:dyDescent="0.15">
      <c r="A271" s="55"/>
      <c r="B271" s="56"/>
      <c r="C271" s="56"/>
      <c r="D271" s="56"/>
      <c r="E271" s="57"/>
      <c r="F271" s="58"/>
      <c r="G271" s="58"/>
      <c r="H271" s="58"/>
      <c r="I271" s="59"/>
      <c r="J271" s="59"/>
      <c r="K271" s="59"/>
      <c r="L271" s="60"/>
      <c r="M271" s="60"/>
      <c r="N271" s="61"/>
      <c r="O271" s="61"/>
      <c r="P271" s="61"/>
      <c r="Q271" s="61"/>
      <c r="R271" s="61"/>
      <c r="S271" s="61"/>
      <c r="T271" s="62"/>
      <c r="U271" s="62"/>
    </row>
    <row r="272" spans="1:21" ht="15" x14ac:dyDescent="0.15">
      <c r="A272" s="55"/>
      <c r="B272" s="56"/>
      <c r="C272" s="56"/>
      <c r="D272" s="56"/>
      <c r="E272" s="57"/>
      <c r="F272" s="58"/>
      <c r="G272" s="58"/>
      <c r="H272" s="58"/>
      <c r="I272" s="59"/>
      <c r="J272" s="59"/>
      <c r="K272" s="59"/>
      <c r="L272" s="60"/>
      <c r="M272" s="60"/>
      <c r="N272" s="61"/>
      <c r="O272" s="61"/>
      <c r="P272" s="61"/>
      <c r="Q272" s="61"/>
      <c r="R272" s="61"/>
      <c r="S272" s="61"/>
      <c r="T272" s="62"/>
      <c r="U272" s="62"/>
    </row>
    <row r="273" spans="1:21" ht="15" x14ac:dyDescent="0.15">
      <c r="A273" s="55"/>
      <c r="B273" s="56"/>
      <c r="C273" s="56"/>
      <c r="D273" s="56"/>
      <c r="E273" s="57"/>
      <c r="F273" s="58"/>
      <c r="G273" s="58"/>
      <c r="H273" s="58"/>
      <c r="I273" s="59"/>
      <c r="J273" s="59"/>
      <c r="K273" s="59"/>
      <c r="L273" s="60"/>
      <c r="M273" s="60"/>
      <c r="N273" s="61"/>
      <c r="O273" s="61"/>
      <c r="P273" s="61"/>
      <c r="Q273" s="61"/>
      <c r="R273" s="61"/>
      <c r="S273" s="61"/>
      <c r="T273" s="62"/>
      <c r="U273" s="62"/>
    </row>
    <row r="274" spans="1:21" ht="15" x14ac:dyDescent="0.15">
      <c r="A274" s="55"/>
      <c r="B274" s="56"/>
      <c r="C274" s="56"/>
      <c r="D274" s="56"/>
      <c r="E274" s="57"/>
      <c r="F274" s="58"/>
      <c r="G274" s="58"/>
      <c r="H274" s="58"/>
      <c r="I274" s="59"/>
      <c r="J274" s="59"/>
      <c r="K274" s="59"/>
      <c r="L274" s="60"/>
      <c r="M274" s="60"/>
      <c r="N274" s="61"/>
      <c r="O274" s="61"/>
      <c r="P274" s="61"/>
      <c r="Q274" s="61"/>
      <c r="R274" s="61"/>
      <c r="S274" s="61"/>
      <c r="T274" s="62"/>
      <c r="U274" s="62"/>
    </row>
    <row r="275" spans="1:21" ht="15" x14ac:dyDescent="0.15">
      <c r="A275" s="55"/>
      <c r="B275" s="56"/>
      <c r="C275" s="56"/>
      <c r="D275" s="56"/>
      <c r="E275" s="57"/>
      <c r="F275" s="58"/>
      <c r="G275" s="58"/>
      <c r="H275" s="58"/>
      <c r="I275" s="59"/>
      <c r="J275" s="59"/>
      <c r="K275" s="59"/>
      <c r="L275" s="60"/>
      <c r="M275" s="60"/>
      <c r="N275" s="61"/>
      <c r="O275" s="61"/>
      <c r="P275" s="61"/>
      <c r="Q275" s="61"/>
      <c r="R275" s="61"/>
      <c r="S275" s="61"/>
      <c r="T275" s="62"/>
      <c r="U275" s="62"/>
    </row>
    <row r="276" spans="1:21" ht="15" x14ac:dyDescent="0.15">
      <c r="A276" s="55"/>
      <c r="B276" s="56"/>
      <c r="C276" s="56"/>
      <c r="D276" s="56"/>
      <c r="E276" s="57"/>
      <c r="F276" s="58"/>
      <c r="G276" s="58"/>
      <c r="H276" s="58"/>
      <c r="I276" s="59"/>
      <c r="J276" s="59"/>
      <c r="K276" s="59"/>
      <c r="L276" s="60"/>
      <c r="M276" s="60"/>
      <c r="N276" s="61"/>
      <c r="O276" s="61"/>
      <c r="P276" s="61"/>
      <c r="Q276" s="61"/>
      <c r="R276" s="61"/>
      <c r="S276" s="61"/>
      <c r="T276" s="62"/>
      <c r="U276" s="62"/>
    </row>
    <row r="277" spans="1:21" ht="15" x14ac:dyDescent="0.15">
      <c r="A277" s="55"/>
      <c r="B277" s="56"/>
      <c r="C277" s="56"/>
      <c r="D277" s="56"/>
      <c r="E277" s="57"/>
      <c r="F277" s="58"/>
      <c r="G277" s="58"/>
      <c r="H277" s="58"/>
      <c r="I277" s="59"/>
      <c r="J277" s="59"/>
      <c r="K277" s="59"/>
      <c r="L277" s="60"/>
      <c r="M277" s="60"/>
      <c r="N277" s="61"/>
      <c r="O277" s="61"/>
      <c r="P277" s="61"/>
      <c r="Q277" s="61"/>
      <c r="R277" s="61"/>
      <c r="S277" s="61"/>
      <c r="T277" s="62"/>
      <c r="U277" s="62"/>
    </row>
    <row r="278" spans="1:21" ht="15" x14ac:dyDescent="0.15">
      <c r="A278" s="55"/>
      <c r="B278" s="56"/>
      <c r="C278" s="56"/>
      <c r="D278" s="56"/>
      <c r="E278" s="57"/>
      <c r="F278" s="58"/>
      <c r="G278" s="58"/>
      <c r="H278" s="58"/>
      <c r="I278" s="59"/>
      <c r="J278" s="59"/>
      <c r="K278" s="59"/>
      <c r="L278" s="60"/>
      <c r="M278" s="60"/>
      <c r="N278" s="61"/>
      <c r="O278" s="61"/>
      <c r="P278" s="61"/>
      <c r="Q278" s="61"/>
      <c r="R278" s="61"/>
      <c r="S278" s="61"/>
      <c r="T278" s="62"/>
      <c r="U278" s="62"/>
    </row>
    <row r="279" spans="1:21" ht="15" x14ac:dyDescent="0.15">
      <c r="A279" s="55"/>
      <c r="B279" s="56"/>
      <c r="C279" s="56"/>
      <c r="D279" s="56"/>
      <c r="E279" s="57"/>
      <c r="F279" s="58"/>
      <c r="G279" s="58"/>
      <c r="H279" s="58"/>
      <c r="I279" s="59"/>
      <c r="J279" s="59"/>
      <c r="K279" s="59"/>
      <c r="L279" s="60"/>
      <c r="M279" s="60"/>
      <c r="N279" s="61"/>
      <c r="O279" s="61"/>
      <c r="P279" s="61"/>
      <c r="Q279" s="61"/>
      <c r="R279" s="61"/>
      <c r="S279" s="61"/>
      <c r="T279" s="62"/>
      <c r="U279" s="62"/>
    </row>
    <row r="280" spans="1:21" ht="15" x14ac:dyDescent="0.15">
      <c r="A280" s="55"/>
      <c r="B280" s="56"/>
      <c r="C280" s="56"/>
      <c r="D280" s="56"/>
      <c r="E280" s="57"/>
      <c r="F280" s="58"/>
      <c r="G280" s="58"/>
      <c r="H280" s="58"/>
      <c r="I280" s="59"/>
      <c r="J280" s="59"/>
      <c r="K280" s="59"/>
      <c r="L280" s="60"/>
      <c r="M280" s="60"/>
      <c r="N280" s="61"/>
      <c r="O280" s="61"/>
      <c r="P280" s="61"/>
      <c r="Q280" s="61"/>
      <c r="R280" s="61"/>
      <c r="S280" s="61"/>
      <c r="T280" s="62"/>
      <c r="U280" s="62"/>
    </row>
    <row r="281" spans="1:21" ht="15" x14ac:dyDescent="0.15">
      <c r="A281" s="55"/>
      <c r="B281" s="56"/>
      <c r="C281" s="56"/>
      <c r="D281" s="56"/>
      <c r="E281" s="57"/>
      <c r="F281" s="58"/>
      <c r="G281" s="58"/>
      <c r="H281" s="58"/>
      <c r="I281" s="59"/>
      <c r="J281" s="59"/>
      <c r="K281" s="59"/>
      <c r="L281" s="60"/>
      <c r="M281" s="60"/>
      <c r="N281" s="61"/>
      <c r="O281" s="61"/>
      <c r="P281" s="61"/>
      <c r="Q281" s="61"/>
      <c r="R281" s="61"/>
      <c r="S281" s="61"/>
      <c r="T281" s="62"/>
      <c r="U281" s="62"/>
    </row>
    <row r="282" spans="1:21" ht="15" x14ac:dyDescent="0.15">
      <c r="A282" s="55"/>
      <c r="B282" s="56"/>
      <c r="C282" s="56"/>
      <c r="D282" s="56"/>
      <c r="E282" s="57"/>
      <c r="F282" s="58"/>
      <c r="G282" s="58"/>
      <c r="H282" s="58"/>
      <c r="I282" s="59"/>
      <c r="J282" s="59"/>
      <c r="K282" s="59"/>
      <c r="L282" s="60"/>
      <c r="M282" s="60"/>
      <c r="N282" s="61"/>
      <c r="O282" s="61"/>
      <c r="P282" s="61"/>
      <c r="Q282" s="61"/>
      <c r="R282" s="61"/>
      <c r="S282" s="61"/>
      <c r="T282" s="62"/>
      <c r="U282" s="62"/>
    </row>
    <row r="283" spans="1:21" ht="15" x14ac:dyDescent="0.15">
      <c r="A283" s="55"/>
      <c r="B283" s="56"/>
      <c r="C283" s="56"/>
      <c r="D283" s="56"/>
      <c r="E283" s="57"/>
      <c r="F283" s="58"/>
      <c r="G283" s="58"/>
      <c r="H283" s="58"/>
      <c r="I283" s="63"/>
      <c r="J283" s="63"/>
      <c r="K283" s="63"/>
      <c r="L283" s="60"/>
      <c r="M283" s="60"/>
      <c r="N283" s="64"/>
      <c r="O283" s="64"/>
      <c r="P283" s="64"/>
      <c r="Q283" s="64"/>
      <c r="R283" s="64"/>
      <c r="S283" s="64"/>
      <c r="T283" s="62"/>
      <c r="U283" s="62"/>
    </row>
    <row r="284" spans="1:21" ht="15" x14ac:dyDescent="0.15">
      <c r="A284" s="55"/>
      <c r="B284" s="56"/>
      <c r="C284" s="56"/>
      <c r="D284" s="56"/>
      <c r="E284" s="57"/>
      <c r="F284" s="58"/>
      <c r="G284" s="58"/>
      <c r="H284" s="58"/>
      <c r="I284" s="63"/>
      <c r="J284" s="63"/>
      <c r="K284" s="63"/>
      <c r="L284" s="60"/>
      <c r="M284" s="60"/>
      <c r="N284" s="64"/>
      <c r="O284" s="64"/>
      <c r="P284" s="64"/>
      <c r="Q284" s="64"/>
      <c r="R284" s="64"/>
      <c r="S284" s="64"/>
      <c r="T284" s="62"/>
      <c r="U284" s="62"/>
    </row>
    <row r="285" spans="1:21" ht="15" x14ac:dyDescent="0.15">
      <c r="A285" s="55"/>
      <c r="B285" s="56"/>
      <c r="C285" s="56"/>
      <c r="D285" s="56"/>
      <c r="E285" s="57"/>
      <c r="F285" s="58"/>
      <c r="G285" s="58"/>
      <c r="H285" s="58"/>
      <c r="I285" s="63"/>
      <c r="J285" s="63"/>
      <c r="K285" s="63"/>
      <c r="L285" s="60"/>
      <c r="M285" s="60"/>
      <c r="N285" s="64"/>
      <c r="O285" s="64"/>
      <c r="P285" s="64"/>
      <c r="Q285" s="64"/>
      <c r="R285" s="64"/>
      <c r="S285" s="64"/>
      <c r="T285" s="62"/>
      <c r="U285" s="62"/>
    </row>
    <row r="286" spans="1:21" ht="15" x14ac:dyDescent="0.15">
      <c r="A286" s="55"/>
      <c r="B286" s="56"/>
      <c r="C286" s="56"/>
      <c r="D286" s="56"/>
      <c r="E286" s="57"/>
      <c r="F286" s="58"/>
      <c r="G286" s="58"/>
      <c r="H286" s="58"/>
      <c r="I286" s="63"/>
      <c r="J286" s="63"/>
      <c r="K286" s="63"/>
      <c r="L286" s="60"/>
      <c r="M286" s="60"/>
      <c r="N286" s="64"/>
      <c r="O286" s="64"/>
      <c r="P286" s="64"/>
      <c r="Q286" s="64"/>
      <c r="R286" s="64"/>
      <c r="S286" s="64"/>
      <c r="T286" s="62"/>
      <c r="U286" s="62"/>
    </row>
    <row r="287" spans="1:21" ht="15" x14ac:dyDescent="0.15">
      <c r="A287" s="55"/>
      <c r="B287" s="56"/>
      <c r="C287" s="56"/>
      <c r="D287" s="56"/>
      <c r="E287" s="57"/>
      <c r="F287" s="58"/>
      <c r="G287" s="58"/>
      <c r="H287" s="58"/>
      <c r="I287" s="63"/>
      <c r="J287" s="63"/>
      <c r="K287" s="63"/>
      <c r="L287" s="60"/>
      <c r="M287" s="60"/>
      <c r="N287" s="64"/>
      <c r="O287" s="64"/>
      <c r="P287" s="64"/>
      <c r="Q287" s="64"/>
      <c r="R287" s="64"/>
      <c r="S287" s="64"/>
      <c r="T287" s="62"/>
      <c r="U287" s="62"/>
    </row>
    <row r="288" spans="1:21" ht="15" x14ac:dyDescent="0.15">
      <c r="A288" s="55"/>
      <c r="B288" s="56"/>
      <c r="C288" s="56"/>
      <c r="D288" s="56"/>
      <c r="E288" s="57"/>
      <c r="F288" s="58"/>
      <c r="G288" s="58"/>
      <c r="H288" s="58"/>
      <c r="I288" s="63"/>
      <c r="J288" s="63"/>
      <c r="K288" s="63"/>
      <c r="L288" s="60"/>
      <c r="M288" s="60"/>
      <c r="N288" s="64"/>
      <c r="O288" s="64"/>
      <c r="P288" s="64"/>
      <c r="Q288" s="64"/>
      <c r="R288" s="64"/>
      <c r="S288" s="64"/>
      <c r="T288" s="62"/>
      <c r="U288" s="62"/>
    </row>
    <row r="289" spans="1:21" ht="15" x14ac:dyDescent="0.15">
      <c r="A289" s="55"/>
      <c r="B289" s="56"/>
      <c r="C289" s="56"/>
      <c r="D289" s="56"/>
      <c r="E289" s="57"/>
      <c r="F289" s="58"/>
      <c r="G289" s="58"/>
      <c r="H289" s="58"/>
      <c r="I289" s="63"/>
      <c r="J289" s="63"/>
      <c r="K289" s="63"/>
      <c r="L289" s="60"/>
      <c r="M289" s="60"/>
      <c r="N289" s="64"/>
      <c r="O289" s="64"/>
      <c r="P289" s="64"/>
      <c r="Q289" s="64"/>
      <c r="R289" s="64"/>
      <c r="S289" s="64"/>
      <c r="T289" s="62"/>
      <c r="U289" s="62"/>
    </row>
    <row r="290" spans="1:21" ht="15" x14ac:dyDescent="0.15">
      <c r="A290" s="55"/>
      <c r="B290" s="56"/>
      <c r="C290" s="56"/>
      <c r="D290" s="56"/>
      <c r="E290" s="57"/>
      <c r="F290" s="58"/>
      <c r="G290" s="58"/>
      <c r="H290" s="58"/>
      <c r="I290" s="63"/>
      <c r="J290" s="63"/>
      <c r="K290" s="63"/>
      <c r="L290" s="60"/>
      <c r="M290" s="60"/>
      <c r="N290" s="64"/>
      <c r="O290" s="64"/>
      <c r="P290" s="64"/>
      <c r="Q290" s="64"/>
      <c r="R290" s="64"/>
      <c r="S290" s="64"/>
      <c r="T290" s="62"/>
      <c r="U290" s="62"/>
    </row>
    <row r="291" spans="1:21" ht="15" x14ac:dyDescent="0.15">
      <c r="A291" s="55"/>
      <c r="B291" s="56"/>
      <c r="C291" s="56"/>
      <c r="D291" s="56"/>
      <c r="E291" s="57"/>
      <c r="F291" s="58"/>
      <c r="G291" s="58"/>
      <c r="H291" s="58"/>
      <c r="I291" s="63"/>
      <c r="J291" s="63"/>
      <c r="K291" s="63"/>
      <c r="L291" s="60"/>
      <c r="M291" s="60"/>
      <c r="N291" s="64"/>
      <c r="O291" s="64"/>
      <c r="P291" s="64"/>
      <c r="Q291" s="64"/>
      <c r="R291" s="64"/>
      <c r="S291" s="64"/>
      <c r="T291" s="62"/>
      <c r="U291" s="62"/>
    </row>
    <row r="292" spans="1:21" ht="15" x14ac:dyDescent="0.15">
      <c r="A292" s="55"/>
      <c r="B292" s="56"/>
      <c r="C292" s="56"/>
      <c r="D292" s="56"/>
      <c r="E292" s="57"/>
      <c r="F292" s="58"/>
      <c r="G292" s="58"/>
      <c r="H292" s="58"/>
      <c r="I292" s="63"/>
      <c r="J292" s="63"/>
      <c r="K292" s="63"/>
      <c r="L292" s="60"/>
      <c r="M292" s="60"/>
      <c r="N292" s="64"/>
      <c r="O292" s="64"/>
      <c r="P292" s="64"/>
      <c r="Q292" s="64"/>
      <c r="R292" s="64"/>
      <c r="S292" s="64"/>
      <c r="T292" s="62"/>
      <c r="U292" s="62"/>
    </row>
    <row r="293" spans="1:21" ht="15" x14ac:dyDescent="0.15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5" x14ac:dyDescent="0.1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5" x14ac:dyDescent="0.1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5" x14ac:dyDescent="0.1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5" x14ac:dyDescent="0.15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5" x14ac:dyDescent="0.15">
      <c r="A298" s="55"/>
      <c r="B298" s="56"/>
      <c r="C298" s="56"/>
      <c r="D298" s="56"/>
      <c r="E298" s="57"/>
      <c r="F298" s="58"/>
      <c r="G298" s="58"/>
      <c r="H298" s="58"/>
      <c r="I298" s="63"/>
      <c r="J298" s="63"/>
      <c r="K298" s="63"/>
      <c r="L298" s="60"/>
      <c r="M298" s="60"/>
      <c r="N298" s="64"/>
      <c r="O298" s="64"/>
      <c r="P298" s="64"/>
      <c r="Q298" s="64"/>
      <c r="R298" s="64"/>
      <c r="S298" s="64"/>
      <c r="T298" s="62"/>
      <c r="U298" s="62"/>
    </row>
    <row r="299" spans="1:21" ht="15" x14ac:dyDescent="0.15">
      <c r="A299" s="55"/>
      <c r="B299" s="56"/>
      <c r="C299" s="56"/>
      <c r="D299" s="56"/>
      <c r="E299" s="57"/>
      <c r="F299" s="58"/>
      <c r="G299" s="58"/>
      <c r="H299" s="58"/>
      <c r="I299" s="63"/>
      <c r="J299" s="63"/>
      <c r="K299" s="63"/>
      <c r="L299" s="60"/>
      <c r="M299" s="60"/>
      <c r="N299" s="64"/>
      <c r="O299" s="64"/>
      <c r="P299" s="64"/>
      <c r="Q299" s="64"/>
      <c r="R299" s="64"/>
      <c r="S299" s="64"/>
      <c r="T299" s="62"/>
      <c r="U299" s="62"/>
    </row>
    <row r="300" spans="1:21" ht="15" x14ac:dyDescent="0.15">
      <c r="A300" s="55"/>
      <c r="B300" s="56"/>
      <c r="C300" s="56"/>
      <c r="D300" s="56"/>
      <c r="E300" s="57"/>
      <c r="F300" s="58"/>
      <c r="G300" s="58"/>
      <c r="H300" s="58"/>
      <c r="I300" s="63"/>
      <c r="J300" s="63"/>
      <c r="K300" s="63"/>
      <c r="L300" s="60"/>
      <c r="M300" s="60"/>
      <c r="N300" s="64"/>
      <c r="O300" s="64"/>
      <c r="P300" s="64"/>
      <c r="Q300" s="64"/>
      <c r="R300" s="64"/>
      <c r="S300" s="64"/>
      <c r="T300" s="62"/>
      <c r="U300" s="62"/>
    </row>
    <row r="301" spans="1:21" ht="15" x14ac:dyDescent="0.15">
      <c r="A301" s="55"/>
      <c r="B301" s="56"/>
      <c r="C301" s="56"/>
      <c r="D301" s="56"/>
      <c r="E301" s="57"/>
      <c r="F301" s="58"/>
      <c r="G301" s="58"/>
      <c r="H301" s="58"/>
      <c r="I301" s="63"/>
      <c r="J301" s="63"/>
      <c r="K301" s="63"/>
      <c r="L301" s="60"/>
      <c r="M301" s="60"/>
      <c r="N301" s="64"/>
      <c r="O301" s="64"/>
      <c r="P301" s="64"/>
      <c r="Q301" s="64"/>
      <c r="R301" s="64"/>
      <c r="S301" s="64"/>
      <c r="T301" s="62"/>
      <c r="U301" s="62"/>
    </row>
    <row r="302" spans="1:21" ht="15" x14ac:dyDescent="0.15">
      <c r="A302" s="55"/>
      <c r="B302" s="56"/>
      <c r="C302" s="56"/>
      <c r="D302" s="56"/>
      <c r="E302" s="57"/>
      <c r="F302" s="58"/>
      <c r="G302" s="58"/>
      <c r="H302" s="58"/>
      <c r="I302" s="63"/>
      <c r="J302" s="63"/>
      <c r="K302" s="63"/>
      <c r="L302" s="60"/>
      <c r="M302" s="60"/>
      <c r="N302" s="64"/>
      <c r="O302" s="64"/>
      <c r="P302" s="64"/>
      <c r="Q302" s="64"/>
      <c r="R302" s="64"/>
      <c r="S302" s="64"/>
      <c r="T302" s="62"/>
      <c r="U302" s="62"/>
    </row>
    <row r="303" spans="1:21" ht="15" x14ac:dyDescent="0.15">
      <c r="A303" s="55"/>
      <c r="B303" s="56"/>
      <c r="C303" s="56"/>
      <c r="D303" s="56"/>
      <c r="E303" s="57"/>
      <c r="F303" s="58"/>
      <c r="G303" s="58"/>
      <c r="H303" s="58"/>
      <c r="I303" s="63"/>
      <c r="J303" s="63"/>
      <c r="K303" s="63"/>
      <c r="L303" s="60"/>
      <c r="M303" s="60"/>
      <c r="N303" s="64"/>
      <c r="O303" s="64"/>
      <c r="P303" s="64"/>
      <c r="Q303" s="64"/>
      <c r="R303" s="64"/>
      <c r="S303" s="64"/>
      <c r="T303" s="62"/>
      <c r="U303" s="62"/>
    </row>
    <row r="304" spans="1:21" ht="15" x14ac:dyDescent="0.15">
      <c r="A304" s="55"/>
      <c r="B304" s="56"/>
      <c r="C304" s="56"/>
      <c r="D304" s="56"/>
      <c r="E304" s="57"/>
      <c r="F304" s="58"/>
      <c r="G304" s="58"/>
      <c r="H304" s="58"/>
      <c r="I304" s="63"/>
      <c r="J304" s="63"/>
      <c r="K304" s="63"/>
      <c r="L304" s="60"/>
      <c r="M304" s="60"/>
      <c r="N304" s="64"/>
      <c r="O304" s="64"/>
      <c r="P304" s="64"/>
      <c r="Q304" s="64"/>
      <c r="R304" s="64"/>
      <c r="S304" s="64"/>
      <c r="T304" s="62"/>
      <c r="U304" s="62"/>
    </row>
    <row r="305" spans="1:21" ht="15" x14ac:dyDescent="0.15">
      <c r="A305" s="55"/>
      <c r="B305" s="56"/>
      <c r="C305" s="56"/>
      <c r="D305" s="56"/>
      <c r="E305" s="57"/>
      <c r="F305" s="58"/>
      <c r="G305" s="58"/>
      <c r="H305" s="58"/>
      <c r="I305" s="63"/>
      <c r="J305" s="63"/>
      <c r="K305" s="63"/>
      <c r="L305" s="60"/>
      <c r="M305" s="60"/>
      <c r="N305" s="64"/>
      <c r="O305" s="64"/>
      <c r="P305" s="64"/>
      <c r="Q305" s="64"/>
      <c r="R305" s="64"/>
      <c r="S305" s="64"/>
      <c r="T305" s="62"/>
      <c r="U305" s="62"/>
    </row>
    <row r="306" spans="1:21" ht="15" x14ac:dyDescent="0.15">
      <c r="A306" s="55"/>
      <c r="B306" s="56"/>
      <c r="C306" s="56"/>
      <c r="D306" s="56"/>
      <c r="E306" s="57"/>
      <c r="F306" s="58"/>
      <c r="G306" s="58"/>
      <c r="H306" s="58"/>
      <c r="I306" s="63"/>
      <c r="J306" s="63"/>
      <c r="K306" s="63"/>
      <c r="L306" s="60"/>
      <c r="M306" s="60"/>
      <c r="N306" s="64"/>
      <c r="O306" s="64"/>
      <c r="P306" s="64"/>
      <c r="Q306" s="64"/>
      <c r="R306" s="64"/>
      <c r="S306" s="64"/>
      <c r="T306" s="62"/>
      <c r="U306" s="62"/>
    </row>
    <row r="307" spans="1:21" ht="15" x14ac:dyDescent="0.15">
      <c r="A307" s="55"/>
      <c r="B307" s="56"/>
      <c r="C307" s="56"/>
      <c r="D307" s="56"/>
      <c r="E307" s="57"/>
      <c r="F307" s="58"/>
      <c r="G307" s="58"/>
      <c r="H307" s="58"/>
      <c r="I307" s="63"/>
      <c r="J307" s="63"/>
      <c r="K307" s="63"/>
      <c r="L307" s="60"/>
      <c r="M307" s="60"/>
      <c r="N307" s="64"/>
      <c r="O307" s="64"/>
      <c r="P307" s="64"/>
      <c r="Q307" s="64"/>
      <c r="R307" s="64"/>
      <c r="S307" s="64"/>
      <c r="T307" s="62"/>
      <c r="U307" s="62"/>
    </row>
    <row r="308" spans="1:21" ht="15" x14ac:dyDescent="0.15">
      <c r="A308" s="55"/>
      <c r="B308" s="56"/>
      <c r="C308" s="56"/>
      <c r="D308" s="56"/>
      <c r="E308" s="57"/>
      <c r="F308" s="58"/>
      <c r="G308" s="58"/>
      <c r="H308" s="58"/>
      <c r="I308" s="63"/>
      <c r="J308" s="63"/>
      <c r="K308" s="63"/>
      <c r="L308" s="60"/>
      <c r="M308" s="60"/>
      <c r="N308" s="64"/>
      <c r="O308" s="64"/>
      <c r="P308" s="64"/>
      <c r="Q308" s="64"/>
      <c r="R308" s="64"/>
      <c r="S308" s="64"/>
      <c r="T308" s="62"/>
      <c r="U308" s="62"/>
    </row>
    <row r="309" spans="1:21" ht="15" x14ac:dyDescent="0.15">
      <c r="A309" s="55"/>
      <c r="B309" s="56"/>
      <c r="C309" s="56"/>
      <c r="D309" s="56"/>
      <c r="E309" s="57"/>
      <c r="F309" s="58"/>
      <c r="G309" s="58"/>
      <c r="H309" s="58"/>
      <c r="I309" s="63"/>
      <c r="J309" s="63"/>
      <c r="K309" s="63"/>
      <c r="L309" s="60"/>
      <c r="M309" s="60"/>
      <c r="N309" s="64"/>
      <c r="O309" s="64"/>
      <c r="P309" s="64"/>
      <c r="Q309" s="64"/>
      <c r="R309" s="64"/>
      <c r="S309" s="64"/>
      <c r="T309" s="62"/>
      <c r="U309" s="62"/>
    </row>
    <row r="310" spans="1:21" ht="15" x14ac:dyDescent="0.15">
      <c r="A310" s="55"/>
      <c r="B310" s="56"/>
      <c r="C310" s="56"/>
      <c r="D310" s="56"/>
      <c r="E310" s="57"/>
      <c r="F310" s="58"/>
      <c r="G310" s="58"/>
      <c r="H310" s="58"/>
      <c r="I310" s="63"/>
      <c r="J310" s="63"/>
      <c r="K310" s="63"/>
      <c r="L310" s="60"/>
      <c r="M310" s="60"/>
      <c r="N310" s="64"/>
      <c r="O310" s="64"/>
      <c r="P310" s="64"/>
      <c r="Q310" s="64"/>
      <c r="R310" s="64"/>
      <c r="S310" s="64"/>
      <c r="T310" s="62"/>
      <c r="U310" s="62"/>
    </row>
    <row r="311" spans="1:21" ht="15" x14ac:dyDescent="0.15">
      <c r="A311" s="55"/>
      <c r="B311" s="56"/>
      <c r="C311" s="56"/>
      <c r="D311" s="56"/>
      <c r="E311" s="57"/>
      <c r="F311" s="58"/>
      <c r="G311" s="58"/>
      <c r="H311" s="58"/>
      <c r="I311" s="59"/>
      <c r="J311" s="59"/>
      <c r="K311" s="59"/>
      <c r="L311" s="60"/>
      <c r="M311" s="60"/>
      <c r="N311" s="61"/>
      <c r="O311" s="61"/>
      <c r="P311" s="61"/>
      <c r="Q311" s="61"/>
      <c r="R311" s="61"/>
      <c r="S311" s="61"/>
      <c r="T311" s="62"/>
      <c r="U311" s="62"/>
    </row>
    <row r="312" spans="1:21" ht="15" x14ac:dyDescent="0.15">
      <c r="A312" s="55"/>
      <c r="B312" s="56"/>
      <c r="C312" s="56"/>
      <c r="D312" s="56"/>
      <c r="E312" s="57"/>
      <c r="F312" s="58"/>
      <c r="G312" s="58"/>
      <c r="H312" s="58"/>
      <c r="I312" s="59"/>
      <c r="J312" s="59"/>
      <c r="K312" s="59"/>
      <c r="L312" s="60"/>
      <c r="M312" s="60"/>
      <c r="N312" s="61"/>
      <c r="O312" s="61"/>
      <c r="P312" s="61"/>
      <c r="Q312" s="61"/>
      <c r="R312" s="61"/>
      <c r="S312" s="61"/>
      <c r="T312" s="62"/>
      <c r="U312" s="62"/>
    </row>
    <row r="313" spans="1:21" ht="15" x14ac:dyDescent="0.15">
      <c r="A313" s="55"/>
      <c r="B313" s="56"/>
      <c r="C313" s="56"/>
      <c r="D313" s="56"/>
      <c r="E313" s="57"/>
      <c r="F313" s="58"/>
      <c r="G313" s="58"/>
      <c r="H313" s="58"/>
      <c r="I313" s="59"/>
      <c r="J313" s="59"/>
      <c r="K313" s="59"/>
      <c r="L313" s="60"/>
      <c r="M313" s="60"/>
      <c r="N313" s="61"/>
      <c r="O313" s="61"/>
      <c r="P313" s="61"/>
      <c r="Q313" s="61"/>
      <c r="R313" s="61"/>
      <c r="S313" s="61"/>
      <c r="T313" s="62"/>
      <c r="U313" s="62"/>
    </row>
    <row r="314" spans="1:21" ht="15" x14ac:dyDescent="0.15">
      <c r="A314" s="55"/>
      <c r="B314" s="56"/>
      <c r="C314" s="56"/>
      <c r="D314" s="56"/>
      <c r="E314" s="57"/>
      <c r="F314" s="58"/>
      <c r="G314" s="58"/>
      <c r="H314" s="58"/>
      <c r="I314" s="59"/>
      <c r="J314" s="59"/>
      <c r="K314" s="59"/>
      <c r="L314" s="60"/>
      <c r="M314" s="60"/>
      <c r="N314" s="61"/>
      <c r="O314" s="61"/>
      <c r="P314" s="61"/>
      <c r="Q314" s="61"/>
      <c r="R314" s="61"/>
      <c r="S314" s="61"/>
      <c r="T314" s="62"/>
      <c r="U314" s="62"/>
    </row>
    <row r="315" spans="1:21" ht="15" x14ac:dyDescent="0.15">
      <c r="A315" s="55"/>
      <c r="B315" s="56"/>
      <c r="C315" s="56"/>
      <c r="D315" s="56"/>
      <c r="E315" s="57"/>
      <c r="F315" s="58"/>
      <c r="G315" s="58"/>
      <c r="H315" s="58"/>
      <c r="I315" s="59"/>
      <c r="J315" s="59"/>
      <c r="K315" s="59"/>
      <c r="L315" s="60"/>
      <c r="M315" s="60"/>
      <c r="N315" s="61"/>
      <c r="O315" s="61"/>
      <c r="P315" s="61"/>
      <c r="Q315" s="61"/>
      <c r="R315" s="61"/>
      <c r="S315" s="61"/>
      <c r="T315" s="62"/>
      <c r="U315" s="62"/>
    </row>
    <row r="316" spans="1:21" ht="15" x14ac:dyDescent="0.15">
      <c r="A316" s="55"/>
      <c r="B316" s="56"/>
      <c r="C316" s="56"/>
      <c r="D316" s="56"/>
      <c r="E316" s="57"/>
      <c r="F316" s="58"/>
      <c r="G316" s="58"/>
      <c r="H316" s="58"/>
      <c r="I316" s="59"/>
      <c r="J316" s="59"/>
      <c r="K316" s="59"/>
      <c r="L316" s="60"/>
      <c r="M316" s="60"/>
      <c r="N316" s="61"/>
      <c r="O316" s="61"/>
      <c r="P316" s="61"/>
      <c r="Q316" s="61"/>
      <c r="R316" s="61"/>
      <c r="S316" s="61"/>
      <c r="T316" s="62"/>
      <c r="U316" s="62"/>
    </row>
    <row r="317" spans="1:21" ht="15" x14ac:dyDescent="0.15">
      <c r="A317" s="55"/>
      <c r="B317" s="56"/>
      <c r="C317" s="56"/>
      <c r="D317" s="56"/>
      <c r="E317" s="57"/>
      <c r="F317" s="58"/>
      <c r="G317" s="58"/>
      <c r="H317" s="58"/>
      <c r="I317" s="59"/>
      <c r="J317" s="59"/>
      <c r="K317" s="59"/>
      <c r="L317" s="60"/>
      <c r="M317" s="60"/>
      <c r="N317" s="61"/>
      <c r="O317" s="61"/>
      <c r="P317" s="61"/>
      <c r="Q317" s="61"/>
      <c r="R317" s="61"/>
      <c r="S317" s="61"/>
      <c r="T317" s="62"/>
      <c r="U317" s="62"/>
    </row>
    <row r="318" spans="1:21" ht="15" x14ac:dyDescent="0.15">
      <c r="A318" s="55"/>
      <c r="B318" s="56"/>
      <c r="C318" s="56"/>
      <c r="D318" s="56"/>
      <c r="E318" s="57"/>
      <c r="F318" s="58"/>
      <c r="G318" s="58"/>
      <c r="H318" s="58"/>
      <c r="I318" s="59"/>
      <c r="J318" s="59"/>
      <c r="K318" s="59"/>
      <c r="L318" s="60"/>
      <c r="M318" s="60"/>
      <c r="N318" s="61"/>
      <c r="O318" s="61"/>
      <c r="P318" s="61"/>
      <c r="Q318" s="61"/>
      <c r="R318" s="61"/>
      <c r="S318" s="61"/>
      <c r="T318" s="62"/>
      <c r="U318" s="62"/>
    </row>
    <row r="319" spans="1:21" ht="15" x14ac:dyDescent="0.15">
      <c r="A319" s="55"/>
      <c r="B319" s="56"/>
      <c r="C319" s="56"/>
      <c r="D319" s="56"/>
      <c r="E319" s="57"/>
      <c r="F319" s="58"/>
      <c r="G319" s="58"/>
      <c r="H319" s="58"/>
      <c r="I319" s="59"/>
      <c r="J319" s="59"/>
      <c r="K319" s="59"/>
      <c r="L319" s="60"/>
      <c r="M319" s="60"/>
      <c r="N319" s="61"/>
      <c r="O319" s="61"/>
      <c r="P319" s="61"/>
      <c r="Q319" s="61"/>
      <c r="R319" s="61"/>
      <c r="S319" s="61"/>
      <c r="T319" s="62"/>
      <c r="U319" s="62"/>
    </row>
    <row r="320" spans="1:21" ht="15" x14ac:dyDescent="0.15">
      <c r="A320" s="55"/>
      <c r="B320" s="56"/>
      <c r="C320" s="56"/>
      <c r="D320" s="56"/>
      <c r="E320" s="57"/>
      <c r="F320" s="58"/>
      <c r="G320" s="58"/>
      <c r="H320" s="58"/>
      <c r="I320" s="59"/>
      <c r="J320" s="59"/>
      <c r="K320" s="59"/>
      <c r="L320" s="60"/>
      <c r="M320" s="60"/>
      <c r="N320" s="61"/>
      <c r="O320" s="61"/>
      <c r="P320" s="61"/>
      <c r="Q320" s="61"/>
      <c r="R320" s="61"/>
      <c r="S320" s="61"/>
      <c r="T320" s="62"/>
      <c r="U320" s="62"/>
    </row>
    <row r="321" spans="1:21" ht="15" x14ac:dyDescent="0.15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5" x14ac:dyDescent="0.1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5" x14ac:dyDescent="0.1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5" x14ac:dyDescent="0.1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5" x14ac:dyDescent="0.1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5" x14ac:dyDescent="0.1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5" x14ac:dyDescent="0.1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5" x14ac:dyDescent="0.1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5" x14ac:dyDescent="0.1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5" x14ac:dyDescent="0.1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5" x14ac:dyDescent="0.1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5" x14ac:dyDescent="0.1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5" x14ac:dyDescent="0.1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5" x14ac:dyDescent="0.1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5" x14ac:dyDescent="0.1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5" x14ac:dyDescent="0.1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5" x14ac:dyDescent="0.1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5" x14ac:dyDescent="0.1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5" x14ac:dyDescent="0.1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5" x14ac:dyDescent="0.1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5" x14ac:dyDescent="0.1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5" x14ac:dyDescent="0.1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5" x14ac:dyDescent="0.1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5" x14ac:dyDescent="0.1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5" x14ac:dyDescent="0.1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5" x14ac:dyDescent="0.1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5" x14ac:dyDescent="0.1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5" x14ac:dyDescent="0.1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5" x14ac:dyDescent="0.1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5" x14ac:dyDescent="0.1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5" x14ac:dyDescent="0.1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5" x14ac:dyDescent="0.1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5" x14ac:dyDescent="0.1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5" x14ac:dyDescent="0.1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5" x14ac:dyDescent="0.1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5" x14ac:dyDescent="0.1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5" x14ac:dyDescent="0.1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5" x14ac:dyDescent="0.1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5" x14ac:dyDescent="0.1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5" x14ac:dyDescent="0.1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5" x14ac:dyDescent="0.1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5" x14ac:dyDescent="0.1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5" x14ac:dyDescent="0.1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5" x14ac:dyDescent="0.1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5" x14ac:dyDescent="0.1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5" x14ac:dyDescent="0.1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5" x14ac:dyDescent="0.1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5" x14ac:dyDescent="0.1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5" x14ac:dyDescent="0.1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5" x14ac:dyDescent="0.1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5" x14ac:dyDescent="0.1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5" x14ac:dyDescent="0.1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5" x14ac:dyDescent="0.1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5" x14ac:dyDescent="0.1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5" x14ac:dyDescent="0.1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5" x14ac:dyDescent="0.1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5" x14ac:dyDescent="0.1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5" x14ac:dyDescent="0.1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5" x14ac:dyDescent="0.1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5" x14ac:dyDescent="0.1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5" x14ac:dyDescent="0.1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5" x14ac:dyDescent="0.1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5" x14ac:dyDescent="0.1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5" x14ac:dyDescent="0.1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5" x14ac:dyDescent="0.1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5" x14ac:dyDescent="0.1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5" x14ac:dyDescent="0.1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5" x14ac:dyDescent="0.1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5" x14ac:dyDescent="0.1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5" x14ac:dyDescent="0.1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5" x14ac:dyDescent="0.1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5" x14ac:dyDescent="0.1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5" x14ac:dyDescent="0.1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5" x14ac:dyDescent="0.1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5" x14ac:dyDescent="0.1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5" x14ac:dyDescent="0.1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5" x14ac:dyDescent="0.1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5" x14ac:dyDescent="0.1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5" x14ac:dyDescent="0.1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5" x14ac:dyDescent="0.1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5" x14ac:dyDescent="0.1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5" x14ac:dyDescent="0.1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5" x14ac:dyDescent="0.15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  <row r="404" spans="1:21" ht="15" x14ac:dyDescent="0.15">
      <c r="A404" s="55"/>
      <c r="B404" s="56"/>
      <c r="C404" s="56"/>
      <c r="D404" s="56"/>
      <c r="E404" s="57"/>
      <c r="F404" s="58"/>
      <c r="G404" s="58"/>
      <c r="H404" s="58"/>
      <c r="I404" s="59"/>
      <c r="J404" s="59"/>
      <c r="K404" s="59"/>
      <c r="L404" s="60"/>
      <c r="M404" s="60"/>
      <c r="N404" s="61"/>
      <c r="O404" s="61"/>
      <c r="P404" s="61"/>
      <c r="Q404" s="61"/>
      <c r="R404" s="61"/>
      <c r="S404" s="61"/>
      <c r="T404" s="62"/>
      <c r="U404" s="62"/>
    </row>
    <row r="405" spans="1:21" ht="15" x14ac:dyDescent="0.15">
      <c r="A405" s="55"/>
      <c r="B405" s="56"/>
      <c r="C405" s="56"/>
      <c r="D405" s="56"/>
      <c r="E405" s="57"/>
      <c r="F405" s="58"/>
      <c r="G405" s="58"/>
      <c r="H405" s="58"/>
      <c r="I405" s="59"/>
      <c r="J405" s="59"/>
      <c r="K405" s="59"/>
      <c r="L405" s="60"/>
      <c r="M405" s="60"/>
      <c r="N405" s="61"/>
      <c r="O405" s="61"/>
      <c r="P405" s="61"/>
      <c r="Q405" s="61"/>
      <c r="R405" s="61"/>
      <c r="S405" s="61"/>
      <c r="T405" s="62"/>
      <c r="U405" s="62"/>
    </row>
    <row r="406" spans="1:21" ht="15" x14ac:dyDescent="0.15">
      <c r="A406" s="55"/>
      <c r="B406" s="56"/>
      <c r="C406" s="56"/>
      <c r="D406" s="56"/>
      <c r="E406" s="57"/>
      <c r="F406" s="58"/>
      <c r="G406" s="58"/>
      <c r="H406" s="58"/>
      <c r="I406" s="59"/>
      <c r="J406" s="59"/>
      <c r="K406" s="59"/>
      <c r="L406" s="60"/>
      <c r="M406" s="60"/>
      <c r="N406" s="61"/>
      <c r="O406" s="61"/>
      <c r="P406" s="61"/>
      <c r="Q406" s="61"/>
      <c r="R406" s="61"/>
      <c r="S406" s="61"/>
      <c r="T406" s="62"/>
      <c r="U406" s="62"/>
    </row>
    <row r="407" spans="1:21" ht="15" x14ac:dyDescent="0.15">
      <c r="A407" s="55"/>
      <c r="B407" s="56"/>
      <c r="C407" s="56"/>
      <c r="D407" s="56"/>
      <c r="E407" s="57"/>
      <c r="F407" s="58"/>
      <c r="G407" s="58"/>
      <c r="H407" s="58"/>
      <c r="I407" s="59"/>
      <c r="J407" s="59"/>
      <c r="K407" s="59"/>
      <c r="L407" s="60"/>
      <c r="M407" s="60"/>
      <c r="N407" s="61"/>
      <c r="O407" s="61"/>
      <c r="P407" s="61"/>
      <c r="Q407" s="61"/>
      <c r="R407" s="61"/>
      <c r="S407" s="61"/>
      <c r="T407" s="62"/>
      <c r="U407" s="62"/>
    </row>
    <row r="408" spans="1:21" ht="15" x14ac:dyDescent="0.15">
      <c r="A408" s="55"/>
      <c r="B408" s="56"/>
      <c r="C408" s="56"/>
      <c r="D408" s="56"/>
      <c r="E408" s="57"/>
      <c r="F408" s="58"/>
      <c r="G408" s="58"/>
      <c r="H408" s="58"/>
      <c r="I408" s="59"/>
      <c r="J408" s="59"/>
      <c r="K408" s="59"/>
      <c r="L408" s="60"/>
      <c r="M408" s="60"/>
      <c r="N408" s="61"/>
      <c r="O408" s="61"/>
      <c r="P408" s="61"/>
      <c r="Q408" s="61"/>
      <c r="R408" s="61"/>
      <c r="S408" s="61"/>
      <c r="T408" s="62"/>
      <c r="U408" s="62"/>
    </row>
    <row r="409" spans="1:21" ht="15" x14ac:dyDescent="0.15">
      <c r="A409" s="55"/>
      <c r="B409" s="56"/>
      <c r="C409" s="56"/>
      <c r="D409" s="56"/>
      <c r="E409" s="57"/>
      <c r="F409" s="58"/>
      <c r="G409" s="58"/>
      <c r="H409" s="58"/>
      <c r="I409" s="59"/>
      <c r="J409" s="59"/>
      <c r="K409" s="59"/>
      <c r="L409" s="60"/>
      <c r="M409" s="60"/>
      <c r="N409" s="61"/>
      <c r="O409" s="61"/>
      <c r="P409" s="61"/>
      <c r="Q409" s="61"/>
      <c r="R409" s="61"/>
      <c r="S409" s="61"/>
      <c r="T409" s="62"/>
      <c r="U409" s="62"/>
    </row>
    <row r="410" spans="1:21" ht="15" x14ac:dyDescent="0.15">
      <c r="A410" s="55"/>
      <c r="B410" s="56"/>
      <c r="C410" s="56"/>
      <c r="D410" s="56"/>
      <c r="E410" s="57"/>
      <c r="F410" s="58"/>
      <c r="G410" s="58"/>
      <c r="H410" s="58"/>
      <c r="I410" s="59"/>
      <c r="J410" s="59"/>
      <c r="K410" s="59"/>
      <c r="L410" s="60"/>
      <c r="M410" s="60"/>
      <c r="N410" s="61"/>
      <c r="O410" s="61"/>
      <c r="P410" s="61"/>
      <c r="Q410" s="61"/>
      <c r="R410" s="61"/>
      <c r="S410" s="61"/>
      <c r="T410" s="62"/>
      <c r="U410" s="62"/>
    </row>
    <row r="411" spans="1:21" ht="15" x14ac:dyDescent="0.15">
      <c r="A411" s="55"/>
      <c r="B411" s="56"/>
      <c r="C411" s="56"/>
      <c r="D411" s="56"/>
      <c r="E411" s="57"/>
      <c r="F411" s="58"/>
      <c r="G411" s="58"/>
      <c r="H411" s="58"/>
      <c r="I411" s="59"/>
      <c r="J411" s="59"/>
      <c r="K411" s="59"/>
      <c r="L411" s="60"/>
      <c r="M411" s="60"/>
      <c r="N411" s="61"/>
      <c r="O411" s="61"/>
      <c r="P411" s="61"/>
      <c r="Q411" s="61"/>
      <c r="R411" s="61"/>
      <c r="S411" s="61"/>
      <c r="T411" s="62"/>
      <c r="U411" s="62"/>
    </row>
    <row r="412" spans="1:21" ht="15" x14ac:dyDescent="0.15">
      <c r="A412" s="55"/>
      <c r="B412" s="56"/>
      <c r="C412" s="56"/>
      <c r="D412" s="56"/>
      <c r="E412" s="57"/>
      <c r="F412" s="58"/>
      <c r="G412" s="58"/>
      <c r="H412" s="58"/>
      <c r="I412" s="59"/>
      <c r="J412" s="59"/>
      <c r="K412" s="59"/>
      <c r="L412" s="60"/>
      <c r="M412" s="60"/>
      <c r="N412" s="61"/>
      <c r="O412" s="61"/>
      <c r="P412" s="61"/>
      <c r="Q412" s="61"/>
      <c r="R412" s="61"/>
      <c r="S412" s="61"/>
      <c r="T412" s="62"/>
      <c r="U412" s="62"/>
    </row>
    <row r="413" spans="1:21" ht="15" x14ac:dyDescent="0.15">
      <c r="A413" s="55"/>
      <c r="B413" s="56"/>
      <c r="C413" s="56"/>
      <c r="D413" s="56"/>
      <c r="E413" s="57"/>
      <c r="F413" s="58"/>
      <c r="G413" s="58"/>
      <c r="H413" s="58"/>
      <c r="I413" s="59"/>
      <c r="J413" s="59"/>
      <c r="K413" s="59"/>
      <c r="L413" s="60"/>
      <c r="M413" s="60"/>
      <c r="N413" s="61"/>
      <c r="O413" s="61"/>
      <c r="P413" s="61"/>
      <c r="Q413" s="61"/>
      <c r="R413" s="61"/>
      <c r="S413" s="61"/>
      <c r="T413" s="62"/>
      <c r="U413" s="62"/>
    </row>
    <row r="414" spans="1:21" ht="15" x14ac:dyDescent="0.15">
      <c r="A414" s="55"/>
      <c r="B414" s="56"/>
      <c r="C414" s="56"/>
      <c r="D414" s="56"/>
      <c r="E414" s="57"/>
      <c r="F414" s="58"/>
      <c r="G414" s="58"/>
      <c r="H414" s="58"/>
      <c r="I414" s="59"/>
      <c r="J414" s="59"/>
      <c r="K414" s="59"/>
      <c r="L414" s="60"/>
      <c r="M414" s="60"/>
      <c r="N414" s="61"/>
      <c r="O414" s="61"/>
      <c r="P414" s="61"/>
      <c r="Q414" s="61"/>
      <c r="R414" s="61"/>
      <c r="S414" s="61"/>
      <c r="T414" s="62"/>
      <c r="U414" s="62"/>
    </row>
    <row r="415" spans="1:21" ht="15" x14ac:dyDescent="0.15">
      <c r="A415" s="55"/>
      <c r="B415" s="56"/>
      <c r="C415" s="56"/>
      <c r="D415" s="56"/>
      <c r="E415" s="57"/>
      <c r="F415" s="58"/>
      <c r="G415" s="58"/>
      <c r="H415" s="58"/>
      <c r="I415" s="59"/>
      <c r="J415" s="59"/>
      <c r="K415" s="59"/>
      <c r="L415" s="60"/>
      <c r="M415" s="60"/>
      <c r="N415" s="61"/>
      <c r="O415" s="61"/>
      <c r="P415" s="61"/>
      <c r="Q415" s="61"/>
      <c r="R415" s="61"/>
      <c r="S415" s="61"/>
      <c r="T415" s="62"/>
      <c r="U415" s="62"/>
    </row>
    <row r="416" spans="1:21" ht="15" x14ac:dyDescent="0.15">
      <c r="A416" s="55"/>
      <c r="B416" s="56"/>
      <c r="C416" s="56"/>
      <c r="D416" s="56"/>
      <c r="E416" s="57"/>
      <c r="F416" s="58"/>
      <c r="G416" s="58"/>
      <c r="H416" s="58"/>
      <c r="I416" s="59"/>
      <c r="J416" s="59"/>
      <c r="K416" s="59"/>
      <c r="L416" s="60"/>
      <c r="M416" s="60"/>
      <c r="N416" s="61"/>
      <c r="O416" s="61"/>
      <c r="P416" s="61"/>
      <c r="Q416" s="61"/>
      <c r="R416" s="61"/>
      <c r="S416" s="61"/>
      <c r="T416" s="62"/>
      <c r="U416" s="62"/>
    </row>
  </sheetData>
  <sheetProtection selectLockedCells="1"/>
  <phoneticPr fontId="1" type="noConversion"/>
  <conditionalFormatting sqref="S2:S5 S7:S185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16">
    <cfRule type="iconSet" priority="142416">
      <iconSet iconSet="3Symbols">
        <cfvo type="percent" val="0"/>
        <cfvo type="num" val="-0.1"/>
        <cfvo type="num" val="-0.05"/>
      </iconSet>
    </cfRule>
    <cfRule type="cellIs" dxfId="0" priority="142415" operator="equal">
      <formula>0</formula>
    </cfRule>
  </conditionalFormatting>
  <conditionalFormatting sqref="S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85"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</conditionalFormatting>
  <conditionalFormatting sqref="T8:T185"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</conditionalFormatting>
  <conditionalFormatting sqref="T186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86:T416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85"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86:U416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T7:T185</xm:sqref>
        </x14:conditionalFormatting>
        <x14:conditionalFormatting xmlns:xm="http://schemas.microsoft.com/office/excel/2006/main"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T8:T185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T186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T186:T416</xm:sqref>
        </x14:conditionalFormatting>
        <x14:conditionalFormatting xmlns:xm="http://schemas.microsoft.com/office/excel/2006/main"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U8:U185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U186:U416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27"/>
  <sheetViews>
    <sheetView topLeftCell="B1" zoomScale="85" zoomScaleNormal="85" workbookViewId="0">
      <selection activeCell="C38" sqref="C38"/>
    </sheetView>
  </sheetViews>
  <sheetFormatPr defaultColWidth="8.9140625" defaultRowHeight="15" x14ac:dyDescent="0.15"/>
  <cols>
    <col min="3" max="3" width="23.68359375" customWidth="1"/>
    <col min="4" max="4" width="20.48828125" customWidth="1"/>
    <col min="5" max="5" width="21.8203125" customWidth="1"/>
    <col min="6" max="6" width="17.02734375" customWidth="1"/>
    <col min="7" max="7" width="16.49609375" customWidth="1"/>
    <col min="8" max="9" width="17.02734375" customWidth="1"/>
    <col min="10" max="10" width="14.8984375" customWidth="1"/>
    <col min="11" max="11" width="19.0234375" customWidth="1"/>
    <col min="12" max="14" width="19.0234375" hidden="1" customWidth="1"/>
    <col min="15" max="15" width="19.29296875" customWidth="1"/>
  </cols>
  <sheetData>
    <row r="1" spans="3:15" ht="15.75" thickBot="1" x14ac:dyDescent="0.2"/>
    <row r="2" spans="3:15" ht="33.75" customHeight="1" x14ac:dyDescent="0.1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15">
      <c r="C3" s="124" t="s">
        <v>86</v>
      </c>
      <c r="D3" s="125">
        <f>帳戶!F4</f>
        <v>11623125</v>
      </c>
      <c r="E3" s="69">
        <f t="shared" ref="E3:E10" si="0">D3/$D$17</f>
        <v>0.41516373243219162</v>
      </c>
      <c r="F3" s="125">
        <f>帳戶!E4</f>
        <v>0</v>
      </c>
      <c r="G3" s="125">
        <v>12336010</v>
      </c>
      <c r="H3" s="94">
        <f>D3-G3</f>
        <v>-712885</v>
      </c>
      <c r="I3" s="92">
        <v>0</v>
      </c>
      <c r="J3" s="21">
        <f>IFERROR(H3/G3,"n/a")</f>
        <v>-5.7788944723618091E-2</v>
      </c>
      <c r="K3" s="29" t="s">
        <v>84</v>
      </c>
      <c r="L3" s="130"/>
      <c r="M3" s="130"/>
      <c r="N3" s="131"/>
      <c r="O3" s="98">
        <f t="shared" ref="O3" si="1">D3*0.1</f>
        <v>1162312.5</v>
      </c>
    </row>
    <row r="4" spans="3:15" x14ac:dyDescent="0.15">
      <c r="C4" s="124" t="s">
        <v>97</v>
      </c>
      <c r="D4" s="125">
        <f>帳戶!F6</f>
        <v>0</v>
      </c>
      <c r="E4" s="69">
        <f t="shared" si="0"/>
        <v>0</v>
      </c>
      <c r="F4" s="125">
        <f>帳戶!E6</f>
        <v>0</v>
      </c>
      <c r="G4" s="125">
        <v>12018880</v>
      </c>
      <c r="H4" s="94">
        <f t="shared" ref="H4" si="2">D4-G4</f>
        <v>-12018880</v>
      </c>
      <c r="I4" s="92">
        <v>5664000</v>
      </c>
      <c r="J4" s="21">
        <f t="shared" ref="J4" si="3">IFERROR(H4/G4,"n/a")</f>
        <v>-1</v>
      </c>
      <c r="K4" s="29" t="s">
        <v>95</v>
      </c>
      <c r="L4" s="130"/>
      <c r="M4" s="130"/>
      <c r="N4" s="131"/>
      <c r="O4" s="98">
        <f>D4*0.1</f>
        <v>0</v>
      </c>
    </row>
    <row r="5" spans="3:15" x14ac:dyDescent="0.15">
      <c r="C5" s="124" t="s">
        <v>94</v>
      </c>
      <c r="D5" s="125">
        <f>帳戶!F7</f>
        <v>0</v>
      </c>
      <c r="E5" s="69">
        <f t="shared" si="0"/>
        <v>0</v>
      </c>
      <c r="F5" s="125">
        <f>帳戶!E7</f>
        <v>0</v>
      </c>
      <c r="G5" s="125">
        <v>9079125</v>
      </c>
      <c r="H5" s="94">
        <f t="shared" ref="H5" si="4">D5-G5</f>
        <v>-9079125</v>
      </c>
      <c r="I5" s="92">
        <v>3275000</v>
      </c>
      <c r="J5" s="21">
        <f t="shared" ref="J5" si="5">IFERROR(H5/G5,"n/a")</f>
        <v>-1</v>
      </c>
      <c r="K5" s="29" t="s">
        <v>95</v>
      </c>
      <c r="L5" s="130"/>
      <c r="M5" s="130"/>
      <c r="N5" s="131"/>
      <c r="O5" s="98">
        <f>D5*0.1</f>
        <v>0</v>
      </c>
    </row>
    <row r="6" spans="3:15" x14ac:dyDescent="0.15">
      <c r="C6" s="124" t="s">
        <v>89</v>
      </c>
      <c r="D6" s="125">
        <f>帳戶!F9</f>
        <v>2616600</v>
      </c>
      <c r="E6" s="69">
        <f t="shared" si="0"/>
        <v>9.3461734454552678E-2</v>
      </c>
      <c r="F6" s="125">
        <f>帳戶!E9</f>
        <v>0</v>
      </c>
      <c r="G6" s="125">
        <v>2641520</v>
      </c>
      <c r="H6" s="94">
        <f t="shared" ref="H6" si="6">D6-G6</f>
        <v>-24920</v>
      </c>
      <c r="I6" s="92">
        <v>0</v>
      </c>
      <c r="J6" s="21">
        <f t="shared" ref="J6" si="7">IFERROR(H6/G6,"n/a")</f>
        <v>-9.433962264150943E-3</v>
      </c>
      <c r="K6" s="29" t="s">
        <v>87</v>
      </c>
      <c r="L6" s="130"/>
      <c r="M6" s="130"/>
      <c r="N6" s="131"/>
      <c r="O6" s="98">
        <f>D6*0.1</f>
        <v>261660</v>
      </c>
    </row>
    <row r="7" spans="3:15" x14ac:dyDescent="0.15">
      <c r="C7" s="124" t="s">
        <v>99</v>
      </c>
      <c r="D7" s="125">
        <f>帳戶!F5</f>
        <v>2102602.5</v>
      </c>
      <c r="E7" s="69">
        <f t="shared" si="0"/>
        <v>7.5102375800075893E-2</v>
      </c>
      <c r="F7" s="125">
        <f>帳戶!E5</f>
        <v>0</v>
      </c>
      <c r="G7" s="125">
        <v>2140245</v>
      </c>
      <c r="H7" s="94">
        <f t="shared" ref="H7" si="8">D7-G7</f>
        <v>-37642.5</v>
      </c>
      <c r="I7" s="92">
        <v>0</v>
      </c>
      <c r="J7" s="21">
        <f t="shared" ref="J7" si="9">IFERROR(H7/G7,"n/a")</f>
        <v>-1.7587939698492462E-2</v>
      </c>
      <c r="K7" s="29" t="s">
        <v>84</v>
      </c>
      <c r="L7" s="130"/>
      <c r="M7" s="130"/>
      <c r="N7" s="131"/>
      <c r="O7" s="98">
        <f t="shared" ref="O7" si="10">D7*0.1</f>
        <v>210260.25</v>
      </c>
    </row>
    <row r="8" spans="3:15" x14ac:dyDescent="0.15">
      <c r="C8" s="124" t="s">
        <v>92</v>
      </c>
      <c r="D8" s="125">
        <f>帳戶!F8</f>
        <v>1992000</v>
      </c>
      <c r="E8" s="69">
        <f t="shared" si="0"/>
        <v>7.1151790504268494E-2</v>
      </c>
      <c r="F8" s="125">
        <f>帳戶!E8</f>
        <v>1149000</v>
      </c>
      <c r="G8" s="125">
        <v>2031000</v>
      </c>
      <c r="H8" s="94">
        <f>D8-G8</f>
        <v>-39000</v>
      </c>
      <c r="I8" s="92">
        <v>1149000</v>
      </c>
      <c r="J8" s="21">
        <f>IFERROR(H8/G8,"n/a")</f>
        <v>-1.9202363367799114E-2</v>
      </c>
      <c r="K8" s="29" t="s">
        <v>90</v>
      </c>
      <c r="L8" s="130"/>
      <c r="M8" s="130"/>
      <c r="N8" s="131"/>
      <c r="O8" s="98">
        <f>D8*0.1</f>
        <v>199200</v>
      </c>
    </row>
    <row r="9" spans="3:15" ht="15.75" thickBot="1" x14ac:dyDescent="0.2">
      <c r="C9" s="18" t="s">
        <v>30</v>
      </c>
      <c r="D9" s="90">
        <f>SUM(D3:D8)</f>
        <v>18334327.5</v>
      </c>
      <c r="E9" s="118">
        <f t="shared" si="0"/>
        <v>0.65487963319108866</v>
      </c>
      <c r="F9" s="90">
        <f>SUM(F3:F8)</f>
        <v>1149000</v>
      </c>
      <c r="G9" s="90">
        <f>SUM(G3:G8)</f>
        <v>40246780</v>
      </c>
      <c r="H9" s="90">
        <f>SUM(H3:H8)</f>
        <v>-21912452.5</v>
      </c>
      <c r="I9" s="90">
        <f>SUM(I3:I8)</f>
        <v>10088000</v>
      </c>
      <c r="J9" s="86">
        <f t="shared" ref="J9:J11" si="11">IFERROR(H9/G9,"n/a")</f>
        <v>-0.5444523139490911</v>
      </c>
      <c r="K9" s="86"/>
      <c r="L9" s="86"/>
      <c r="M9" s="86"/>
      <c r="N9" s="86"/>
      <c r="O9" s="126">
        <f>SUM(O3:O8)</f>
        <v>1833432.75</v>
      </c>
    </row>
    <row r="10" spans="3:15" ht="16.5" customHeight="1" x14ac:dyDescent="0.15">
      <c r="C10" s="87"/>
      <c r="D10" s="104">
        <v>0</v>
      </c>
      <c r="E10" s="106">
        <f t="shared" si="0"/>
        <v>0</v>
      </c>
      <c r="F10" s="88">
        <v>0</v>
      </c>
      <c r="G10" s="104">
        <v>0</v>
      </c>
      <c r="H10" s="96">
        <f>D10-G10</f>
        <v>0</v>
      </c>
      <c r="I10" s="88">
        <v>0</v>
      </c>
      <c r="J10" s="89" t="str">
        <f t="shared" si="11"/>
        <v>n/a</v>
      </c>
      <c r="K10" s="107"/>
      <c r="L10" s="107"/>
      <c r="M10" s="107"/>
      <c r="N10" s="107"/>
      <c r="O10" s="100">
        <f>D10*0.1</f>
        <v>0</v>
      </c>
    </row>
    <row r="11" spans="3:15" ht="15.75" thickBot="1" x14ac:dyDescent="0.2">
      <c r="C11" s="18" t="s">
        <v>30</v>
      </c>
      <c r="D11" s="90">
        <f>SUM(D10:D10)</f>
        <v>0</v>
      </c>
      <c r="E11" s="90"/>
      <c r="F11" s="20"/>
      <c r="G11" s="90">
        <f>SUM(G10:G10)</f>
        <v>0</v>
      </c>
      <c r="H11" s="95">
        <f>D11-G11</f>
        <v>0</v>
      </c>
      <c r="I11" s="19"/>
      <c r="J11" s="86" t="str">
        <f t="shared" si="11"/>
        <v>n/a</v>
      </c>
      <c r="K11" s="86"/>
      <c r="L11" s="86"/>
      <c r="M11" s="86"/>
      <c r="N11" s="86"/>
      <c r="O11" s="99">
        <f>SUM(0)</f>
        <v>0</v>
      </c>
    </row>
    <row r="12" spans="3:15" x14ac:dyDescent="0.15">
      <c r="C12" s="108" t="s">
        <v>31</v>
      </c>
      <c r="D12" s="109">
        <f ca="1">D12-帳戶!F12</f>
        <v>0</v>
      </c>
      <c r="E12" s="109"/>
      <c r="F12" s="110"/>
      <c r="G12" s="109">
        <v>0</v>
      </c>
      <c r="H12" s="111"/>
      <c r="I12" s="109"/>
      <c r="J12" s="110"/>
      <c r="K12" s="110"/>
      <c r="L12" s="110"/>
      <c r="M12" s="110"/>
      <c r="N12" s="110"/>
      <c r="O12" s="112"/>
    </row>
    <row r="13" spans="3:15" x14ac:dyDescent="0.15">
      <c r="C13" s="71" t="s">
        <v>32</v>
      </c>
      <c r="D13" s="91">
        <f>帳戶!C18</f>
        <v>10811157</v>
      </c>
      <c r="E13" s="69">
        <f>D13/$D$17</f>
        <v>0.38616123392206619</v>
      </c>
      <c r="F13" s="69"/>
      <c r="G13" s="91">
        <v>151</v>
      </c>
      <c r="H13" s="94">
        <f>D13-G13</f>
        <v>10811006</v>
      </c>
      <c r="I13" s="22"/>
      <c r="J13" s="70">
        <f>H13/G13</f>
        <v>71596.066225165559</v>
      </c>
      <c r="K13" s="29" t="s">
        <v>32</v>
      </c>
      <c r="L13" s="29"/>
      <c r="M13" s="29"/>
      <c r="N13" s="29"/>
      <c r="O13" s="98"/>
    </row>
    <row r="14" spans="3:15" x14ac:dyDescent="0.15">
      <c r="C14" s="71" t="s">
        <v>68</v>
      </c>
      <c r="D14" s="91">
        <f>期貨!C4</f>
        <v>0</v>
      </c>
      <c r="E14" s="69">
        <f>D14/$D$17</f>
        <v>0</v>
      </c>
      <c r="F14" s="69"/>
      <c r="G14" s="91">
        <v>0</v>
      </c>
      <c r="H14" s="94">
        <f>D14-G14</f>
        <v>0</v>
      </c>
      <c r="I14" s="22"/>
      <c r="J14" s="70" t="e">
        <f>H14/G14</f>
        <v>#DIV/0!</v>
      </c>
      <c r="K14" s="29"/>
      <c r="L14" s="29"/>
      <c r="M14" s="29"/>
      <c r="N14" s="29"/>
      <c r="O14" s="98"/>
    </row>
    <row r="15" spans="3:15" x14ac:dyDescent="0.15">
      <c r="C15" s="71" t="s">
        <v>52</v>
      </c>
      <c r="D15" s="91">
        <f>帳戶!C19</f>
        <v>0</v>
      </c>
      <c r="E15" s="69">
        <f>D15/$D$17</f>
        <v>0</v>
      </c>
      <c r="F15" s="69"/>
      <c r="G15" s="91">
        <v>0</v>
      </c>
      <c r="H15" s="94">
        <f>D15-G15</f>
        <v>0</v>
      </c>
      <c r="I15" s="22"/>
      <c r="J15" s="70" t="e">
        <f>H15/G15</f>
        <v>#DIV/0!</v>
      </c>
      <c r="K15" s="29" t="s">
        <v>34</v>
      </c>
      <c r="L15" s="29"/>
      <c r="M15" s="29"/>
      <c r="N15" s="29"/>
      <c r="O15" s="98"/>
    </row>
    <row r="16" spans="3:15" ht="15.75" thickBot="1" x14ac:dyDescent="0.2">
      <c r="C16" s="113" t="s">
        <v>31</v>
      </c>
      <c r="D16" s="114">
        <f>D9+D13-F9-帳戶!F21+D15</f>
        <v>0</v>
      </c>
      <c r="E16" s="114"/>
      <c r="F16" s="115"/>
      <c r="G16" s="114">
        <v>0</v>
      </c>
      <c r="H16" s="116"/>
      <c r="I16" s="114"/>
      <c r="J16" s="115"/>
      <c r="K16" s="115"/>
      <c r="L16" s="115"/>
      <c r="M16" s="115"/>
      <c r="N16" s="115"/>
      <c r="O16" s="117"/>
    </row>
    <row r="17" spans="2:15" ht="15.75" thickBot="1" x14ac:dyDescent="0.2">
      <c r="C17" s="18" t="s">
        <v>30</v>
      </c>
      <c r="D17" s="90">
        <f>D9+D13-F9+D15+D14</f>
        <v>27996484.5</v>
      </c>
      <c r="E17" s="118">
        <f>D17/$D$17</f>
        <v>1</v>
      </c>
      <c r="F17" s="20"/>
      <c r="G17" s="90">
        <f>G9+G13-I9+G15+G14</f>
        <v>30158931</v>
      </c>
      <c r="H17" s="95">
        <f t="shared" ref="H17" si="12">D17-G17</f>
        <v>-2162446.5</v>
      </c>
      <c r="I17" s="19"/>
      <c r="J17" s="20">
        <f>H17/G17</f>
        <v>-7.1701695925495509E-2</v>
      </c>
      <c r="K17" s="20"/>
      <c r="L17" s="20"/>
      <c r="M17" s="20"/>
      <c r="N17" s="20"/>
      <c r="O17" s="99"/>
    </row>
    <row r="18" spans="2:15" x14ac:dyDescent="0.15">
      <c r="C18" s="119" t="s">
        <v>35</v>
      </c>
      <c r="D18" s="120">
        <v>30158931</v>
      </c>
      <c r="E18" s="23"/>
      <c r="G18" s="23"/>
      <c r="I18" s="26"/>
      <c r="O18" s="97"/>
    </row>
    <row r="19" spans="2:15" ht="18.75" customHeight="1" x14ac:dyDescent="0.15">
      <c r="C19" s="11" t="s">
        <v>36</v>
      </c>
      <c r="D19" s="93">
        <f>D17-D18</f>
        <v>-2162446.5</v>
      </c>
      <c r="E19" s="105"/>
      <c r="F19" s="24"/>
      <c r="G19" s="23"/>
      <c r="H19" s="23"/>
      <c r="K19" s="24"/>
      <c r="L19" s="24"/>
      <c r="M19" s="24"/>
      <c r="N19" s="24"/>
      <c r="O19" s="97"/>
    </row>
    <row r="20" spans="2:15" ht="15.75" thickBot="1" x14ac:dyDescent="0.2">
      <c r="C20" s="12" t="s">
        <v>37</v>
      </c>
      <c r="D20" s="13">
        <f>D19/D18</f>
        <v>-7.1701695925495509E-2</v>
      </c>
      <c r="E20" s="23"/>
      <c r="F20" s="24"/>
      <c r="G20" s="23"/>
      <c r="H20" s="24"/>
      <c r="O20" s="97"/>
    </row>
    <row r="21" spans="2:15" x14ac:dyDescent="0.15">
      <c r="D21" s="31"/>
      <c r="E21" s="31"/>
      <c r="F21" s="30"/>
      <c r="G21" s="81"/>
      <c r="H21" s="81"/>
      <c r="I21" s="17"/>
      <c r="J21" s="17"/>
      <c r="K21" s="17"/>
      <c r="L21" s="17"/>
      <c r="M21" s="17"/>
      <c r="N21" s="17"/>
    </row>
    <row r="22" spans="2:15" x14ac:dyDescent="0.15">
      <c r="D22" s="25"/>
      <c r="E22" s="25"/>
    </row>
    <row r="24" spans="2:15" ht="17.25" customHeight="1" x14ac:dyDescent="0.15"/>
    <row r="26" spans="2:15" x14ac:dyDescent="0.15">
      <c r="G26" t="s">
        <v>21</v>
      </c>
    </row>
    <row r="27" spans="2:15" x14ac:dyDescent="0.15">
      <c r="B27" t="s">
        <v>53</v>
      </c>
    </row>
  </sheetData>
  <phoneticPr fontId="1" type="noConversion"/>
  <conditionalFormatting sqref="D2">
    <cfRule type="dataBar" priority="119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</conditionalFormatting>
  <conditionalFormatting sqref="E2">
    <cfRule type="dataBar" priority="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</conditionalFormatting>
  <conditionalFormatting sqref="E3:E11">
    <cfRule type="dataBar" priority="1481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81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81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81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81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81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  <cfRule type="dataBar" priority="1481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81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81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81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81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81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  <cfRule type="dataBar" priority="1481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81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81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81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81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81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81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81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81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81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81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81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  <cfRule type="dataBar" priority="1481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</conditionalFormatting>
  <conditionalFormatting sqref="E3:E12">
    <cfRule type="dataBar" priority="1481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1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19">
    <cfRule type="dataBar" priority="1481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{66C01FB6-919D-4595-B38B-E6759E5B4786}</x14:id>
        </ext>
      </extLst>
    </cfRule>
  </conditionalFormatting>
  <conditionalFormatting sqref="E3:E20">
    <cfRule type="dataBar" priority="1481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{3B06CF53-F3EF-45E9-9716-27000C77A8AC}</x14:id>
        </ext>
      </extLst>
    </cfRule>
  </conditionalFormatting>
  <conditionalFormatting sqref="E12"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</conditionalFormatting>
  <conditionalFormatting sqref="E13"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4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</conditionalFormatting>
  <conditionalFormatting sqref="E16:E18"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</conditionalFormatting>
  <conditionalFormatting sqref="E20"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</conditionalFormatting>
  <conditionalFormatting sqref="F2 F20 F16:F17">
    <cfRule type="dataBar" priority="1386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14:F19"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  <cfRule type="dataBar" priority="1403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  <cfRule type="dataBar" priority="1403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</conditionalFormatting>
  <conditionalFormatting sqref="F14:F20 F2">
    <cfRule type="dataBar" priority="140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4:F20">
    <cfRule type="dataBar" priority="140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16:F17 F20">
    <cfRule type="dataBar" priority="1386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16:F17"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</conditionalFormatting>
  <conditionalFormatting sqref="F16:F18 F20">
    <cfRule type="dataBar" priority="1387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16:F18"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18"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</conditionalFormatting>
  <conditionalFormatting sqref="F20"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  <cfRule type="dataBar" priority="138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</conditionalFormatting>
  <conditionalFormatting sqref="I2">
    <cfRule type="dataBar" priority="7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E3:E11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E3:E12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E3:E17</xm:sqref>
        </x14:conditionalFormatting>
        <x14:conditionalFormatting xmlns:xm="http://schemas.microsoft.com/office/excel/2006/main">
          <x14:cfRule type="dataBar" id="{66C01FB6-919D-4595-B38B-E6759E5B47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E3:E19</xm:sqref>
        </x14:conditionalFormatting>
        <x14:conditionalFormatting xmlns:xm="http://schemas.microsoft.com/office/excel/2006/main">
          <x14:cfRule type="dataBar" id="{3B06CF53-F3EF-45E9-9716-27000C77A8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E3:E20</xm:sqref>
        </x14:conditionalFormatting>
        <x14:conditionalFormatting xmlns:xm="http://schemas.microsoft.com/office/excel/2006/main"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m:sqref>E12</xm:sqref>
        </x14:conditionalFormatting>
        <x14:conditionalFormatting xmlns:xm="http://schemas.microsoft.com/office/excel/2006/main"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E13</xm:sqref>
        </x14:conditionalFormatting>
        <x14:conditionalFormatting xmlns:xm="http://schemas.microsoft.com/office/excel/2006/main"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E16:E18</xm:sqref>
        </x14:conditionalFormatting>
        <x14:conditionalFormatting xmlns:xm="http://schemas.microsoft.com/office/excel/2006/main"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E20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F20 F16:F17</xm:sqref>
        </x14:conditionalFormatting>
        <x14:conditionalFormatting xmlns:xm="http://schemas.microsoft.com/office/excel/2006/main"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F14:F19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F14:F20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F14:F20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F16:F17 F20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F16:F17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F16:F18 F20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F16:F18</xm:sqref>
        </x14:conditionalFormatting>
        <x14:conditionalFormatting xmlns:xm="http://schemas.microsoft.com/office/excel/2006/main"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</xm:sqref>
        </x14:conditionalFormatting>
        <x14:conditionalFormatting xmlns:xm="http://schemas.microsoft.com/office/excel/2006/main"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4"/>
  <sheetViews>
    <sheetView zoomScaleNormal="100" workbookViewId="0">
      <selection activeCell="D10" sqref="D10"/>
    </sheetView>
  </sheetViews>
  <sheetFormatPr defaultRowHeight="15" x14ac:dyDescent="0.15"/>
  <cols>
    <col min="2" max="2" width="17.02734375" customWidth="1"/>
    <col min="3" max="3" width="16.09765625" bestFit="1" customWidth="1"/>
    <col min="4" max="4" width="10.640625" customWidth="1"/>
    <col min="5" max="5" width="16.09765625" bestFit="1" customWidth="1"/>
    <col min="6" max="6" width="16.49609375" customWidth="1"/>
    <col min="7" max="7" width="13.0390625" customWidth="1"/>
    <col min="8" max="8" width="17.02734375" customWidth="1"/>
    <col min="9" max="9" width="12.50390625" customWidth="1"/>
    <col min="10" max="10" width="13.0390625" customWidth="1"/>
    <col min="11" max="11" width="10.91015625" customWidth="1"/>
    <col min="12" max="12" width="11.83984375" customWidth="1"/>
    <col min="13" max="13" width="11.04296875" customWidth="1"/>
  </cols>
  <sheetData>
    <row r="2" spans="2:6" x14ac:dyDescent="0.15">
      <c r="B2" s="140" t="s">
        <v>22</v>
      </c>
      <c r="C2" s="141"/>
      <c r="D2" s="141"/>
      <c r="E2" s="141"/>
      <c r="F2" s="141"/>
    </row>
    <row r="3" spans="2:6" x14ac:dyDescent="0.1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15">
      <c r="B4" s="7" t="s">
        <v>85</v>
      </c>
      <c r="C4" s="2">
        <v>61990</v>
      </c>
      <c r="D4" s="3">
        <v>187.5</v>
      </c>
      <c r="E4" s="2">
        <v>0</v>
      </c>
      <c r="F4" s="2">
        <f t="shared" ref="F4" si="0">C4*D4</f>
        <v>11623125</v>
      </c>
    </row>
    <row r="5" spans="2:6" x14ac:dyDescent="0.15">
      <c r="B5" s="7" t="s">
        <v>98</v>
      </c>
      <c r="C5" s="2">
        <v>10755</v>
      </c>
      <c r="D5" s="3">
        <v>195.5</v>
      </c>
      <c r="E5" s="2">
        <v>0</v>
      </c>
      <c r="F5" s="2">
        <f t="shared" ref="F5:F9" si="1">C5*D5</f>
        <v>2102602.5</v>
      </c>
    </row>
    <row r="6" spans="2:6" x14ac:dyDescent="0.15">
      <c r="B6" s="7" t="s">
        <v>96</v>
      </c>
      <c r="C6" s="2">
        <v>0</v>
      </c>
      <c r="D6" s="3">
        <f>VLOOKUP(B6,'[1]元大(自己)'!$B$4:$D$10,3,0)</f>
        <v>5290</v>
      </c>
      <c r="E6" s="2">
        <v>0</v>
      </c>
      <c r="F6" s="2">
        <f t="shared" ref="F6:F8" si="2">C6*D6</f>
        <v>0</v>
      </c>
    </row>
    <row r="7" spans="2:6" x14ac:dyDescent="0.15">
      <c r="B7" s="7" t="s">
        <v>93</v>
      </c>
      <c r="C7" s="2">
        <v>0</v>
      </c>
      <c r="D7" s="3">
        <f>VLOOKUP(B7,'[1]元大(自己)'!$B$4:$D$10,3,0)</f>
        <v>8525</v>
      </c>
      <c r="E7" s="2">
        <v>0</v>
      </c>
      <c r="F7" s="2">
        <f t="shared" si="2"/>
        <v>0</v>
      </c>
    </row>
    <row r="8" spans="2:6" x14ac:dyDescent="0.15">
      <c r="B8" s="7" t="s">
        <v>91</v>
      </c>
      <c r="C8" s="2">
        <v>6000</v>
      </c>
      <c r="D8" s="3">
        <v>332</v>
      </c>
      <c r="E8" s="2">
        <v>1149000</v>
      </c>
      <c r="F8" s="2">
        <f t="shared" si="2"/>
        <v>1992000</v>
      </c>
    </row>
    <row r="9" spans="2:6" x14ac:dyDescent="0.15">
      <c r="B9" s="7" t="s">
        <v>88</v>
      </c>
      <c r="C9" s="2">
        <v>1246</v>
      </c>
      <c r="D9" s="3">
        <v>2100</v>
      </c>
      <c r="E9" s="2">
        <v>0</v>
      </c>
      <c r="F9" s="2">
        <f t="shared" si="1"/>
        <v>2616600</v>
      </c>
    </row>
    <row r="10" spans="2:6" x14ac:dyDescent="0.15">
      <c r="B10" s="7"/>
      <c r="C10" s="2"/>
      <c r="D10" s="32"/>
      <c r="E10" s="3"/>
      <c r="F10" s="3"/>
    </row>
    <row r="11" spans="2:6" x14ac:dyDescent="0.15">
      <c r="C11" s="85"/>
    </row>
    <row r="12" spans="2:6" x14ac:dyDescent="0.15">
      <c r="D12" s="4" t="s">
        <v>57</v>
      </c>
      <c r="E12" s="9">
        <f>SUM(E4:E9)</f>
        <v>1149000</v>
      </c>
      <c r="F12" s="9">
        <f>SUM(F4:F9)</f>
        <v>18334327.5</v>
      </c>
    </row>
    <row r="13" spans="2:6" ht="15.75" thickBot="1" x14ac:dyDescent="0.2"/>
    <row r="14" spans="2:6" x14ac:dyDescent="0.15">
      <c r="B14" s="138" t="s">
        <v>32</v>
      </c>
      <c r="C14" s="139"/>
      <c r="D14" s="5"/>
      <c r="E14" s="5"/>
      <c r="F14" s="5"/>
    </row>
    <row r="15" spans="2:6" x14ac:dyDescent="0.15">
      <c r="B15" s="72" t="s">
        <v>43</v>
      </c>
      <c r="C15" s="8">
        <v>85710</v>
      </c>
      <c r="E15" s="132">
        <v>31.9</v>
      </c>
      <c r="F15" s="5"/>
    </row>
    <row r="16" spans="2:6" x14ac:dyDescent="0.15">
      <c r="B16" s="72" t="s">
        <v>44</v>
      </c>
      <c r="C16" s="8">
        <v>-85559</v>
      </c>
      <c r="E16" s="5"/>
      <c r="F16" s="5"/>
    </row>
    <row r="17" spans="2:13" x14ac:dyDescent="0.15">
      <c r="B17" s="72" t="s">
        <v>45</v>
      </c>
      <c r="C17" s="8">
        <v>10811006</v>
      </c>
      <c r="E17" s="5"/>
      <c r="F17" s="5"/>
    </row>
    <row r="18" spans="2:13" ht="15.75" thickBot="1" x14ac:dyDescent="0.2">
      <c r="B18" s="73" t="s">
        <v>46</v>
      </c>
      <c r="C18" s="74">
        <f>SUM(C15:C17)</f>
        <v>10811157</v>
      </c>
      <c r="F18" s="129">
        <f>F21+期貨!C4</f>
        <v>27996484.5</v>
      </c>
    </row>
    <row r="19" spans="2:13" ht="15.75" thickBot="1" x14ac:dyDescent="0.2">
      <c r="B19" s="75" t="s">
        <v>33</v>
      </c>
      <c r="C19" s="76">
        <v>0</v>
      </c>
      <c r="F19" s="23"/>
    </row>
    <row r="21" spans="2:13" x14ac:dyDescent="0.15">
      <c r="D21" s="6" t="s">
        <v>47</v>
      </c>
      <c r="E21" s="6"/>
      <c r="F21" s="10">
        <f>F12+C18+C19-E12</f>
        <v>27996484.5</v>
      </c>
    </row>
    <row r="23" spans="2:13" x14ac:dyDescent="0.15">
      <c r="F23" s="129"/>
    </row>
    <row r="24" spans="2:13" x14ac:dyDescent="0.15">
      <c r="F24" s="23"/>
    </row>
    <row r="25" spans="2:13" x14ac:dyDescent="0.15">
      <c r="D25" s="121">
        <f>SUM(D26:D41)</f>
        <v>0.99969000000000019</v>
      </c>
      <c r="H25" s="23">
        <f>(F21+期貨!C4)*0.67</f>
        <v>18757644.615000002</v>
      </c>
      <c r="K25" t="s">
        <v>60</v>
      </c>
      <c r="L25" t="s">
        <v>61</v>
      </c>
      <c r="M25" t="s">
        <v>62</v>
      </c>
    </row>
    <row r="26" spans="2:13" x14ac:dyDescent="0.15">
      <c r="B26">
        <v>8299</v>
      </c>
      <c r="C26" t="s">
        <v>69</v>
      </c>
      <c r="D26" s="122">
        <v>0.2127</v>
      </c>
      <c r="F26" s="122">
        <v>0.2127</v>
      </c>
      <c r="G26">
        <v>2670</v>
      </c>
      <c r="H26" s="123">
        <f>$H$25*F26/G26</f>
        <v>1494.2887676443822</v>
      </c>
      <c r="I26">
        <v>1.3</v>
      </c>
      <c r="J26">
        <f>I26*G26</f>
        <v>3471</v>
      </c>
      <c r="K26">
        <v>1.3</v>
      </c>
      <c r="L26">
        <v>0</v>
      </c>
      <c r="M26">
        <v>0</v>
      </c>
    </row>
    <row r="27" spans="2:13" x14ac:dyDescent="0.15">
      <c r="B27">
        <v>2451</v>
      </c>
      <c r="C27" t="s">
        <v>70</v>
      </c>
      <c r="D27" s="122">
        <v>8.5079999999999989E-2</v>
      </c>
      <c r="F27" s="122">
        <v>8.5079999999999989E-2</v>
      </c>
      <c r="G27">
        <v>343.5</v>
      </c>
      <c r="H27" s="123">
        <f t="shared" ref="H27:H41" si="3">$H$25*F27/G27</f>
        <v>4645.998264466376</v>
      </c>
      <c r="I27">
        <v>4</v>
      </c>
      <c r="J27">
        <f t="shared" ref="J27:J41" si="4">I27*G27</f>
        <v>1374</v>
      </c>
      <c r="K27">
        <v>4</v>
      </c>
      <c r="L27">
        <v>0</v>
      </c>
      <c r="M27">
        <v>0</v>
      </c>
    </row>
    <row r="28" spans="2:13" x14ac:dyDescent="0.15">
      <c r="B28">
        <v>5289</v>
      </c>
      <c r="C28" t="s">
        <v>63</v>
      </c>
      <c r="D28" s="122">
        <v>8.5079999999999989E-2</v>
      </c>
      <c r="F28" s="122">
        <v>8.5079999999999989E-2</v>
      </c>
      <c r="G28">
        <v>1760</v>
      </c>
      <c r="H28" s="123">
        <f t="shared" si="3"/>
        <v>906.76159309329546</v>
      </c>
      <c r="I28">
        <v>1</v>
      </c>
      <c r="J28">
        <f t="shared" si="4"/>
        <v>1760</v>
      </c>
      <c r="K28">
        <v>1</v>
      </c>
      <c r="L28">
        <v>0</v>
      </c>
      <c r="M28">
        <v>0</v>
      </c>
    </row>
    <row r="29" spans="2:13" x14ac:dyDescent="0.15">
      <c r="B29">
        <v>3135</v>
      </c>
      <c r="C29" t="s">
        <v>71</v>
      </c>
      <c r="D29" s="122">
        <v>4.2539999999999994E-2</v>
      </c>
      <c r="F29" s="122">
        <v>4.2539999999999994E-2</v>
      </c>
      <c r="G29">
        <v>194.5</v>
      </c>
      <c r="H29" s="123">
        <f t="shared" si="3"/>
        <v>4102.571732247301</v>
      </c>
      <c r="I29">
        <v>4</v>
      </c>
      <c r="J29">
        <f t="shared" si="4"/>
        <v>778</v>
      </c>
      <c r="K29">
        <v>4</v>
      </c>
      <c r="L29">
        <v>0</v>
      </c>
      <c r="M29">
        <v>0</v>
      </c>
    </row>
    <row r="30" spans="2:13" x14ac:dyDescent="0.15">
      <c r="B30">
        <v>8271</v>
      </c>
      <c r="C30" t="s">
        <v>72</v>
      </c>
      <c r="D30" s="122">
        <v>4.2539999999999994E-2</v>
      </c>
      <c r="F30" s="122">
        <v>4.2539999999999994E-2</v>
      </c>
      <c r="G30">
        <v>256</v>
      </c>
      <c r="H30" s="123">
        <f t="shared" si="3"/>
        <v>3116.9929762582033</v>
      </c>
      <c r="I30">
        <v>3</v>
      </c>
      <c r="J30">
        <f t="shared" si="4"/>
        <v>768</v>
      </c>
      <c r="K30">
        <v>3</v>
      </c>
      <c r="L30">
        <v>0</v>
      </c>
      <c r="M30">
        <v>0</v>
      </c>
    </row>
    <row r="31" spans="2:13" x14ac:dyDescent="0.15">
      <c r="B31">
        <v>3036</v>
      </c>
      <c r="C31" t="s">
        <v>73</v>
      </c>
      <c r="D31" s="122">
        <v>8.5079999999999989E-2</v>
      </c>
      <c r="F31" s="122">
        <v>8.5079999999999989E-2</v>
      </c>
      <c r="G31">
        <v>264.5</v>
      </c>
      <c r="H31" s="123">
        <f t="shared" si="3"/>
        <v>6033.6499200158796</v>
      </c>
      <c r="I31">
        <v>5</v>
      </c>
      <c r="J31">
        <f t="shared" si="4"/>
        <v>1322.5</v>
      </c>
      <c r="K31">
        <v>5</v>
      </c>
      <c r="L31">
        <v>0</v>
      </c>
      <c r="M31">
        <v>0</v>
      </c>
    </row>
    <row r="32" spans="2:13" x14ac:dyDescent="0.15">
      <c r="B32">
        <v>2059</v>
      </c>
      <c r="C32" t="s">
        <v>74</v>
      </c>
      <c r="D32" s="122">
        <v>8.5079999999999989E-2</v>
      </c>
      <c r="F32" s="122">
        <v>8.5079999999999989E-2</v>
      </c>
      <c r="G32">
        <v>5520</v>
      </c>
      <c r="H32" s="123">
        <f t="shared" si="3"/>
        <v>289.11239200076091</v>
      </c>
      <c r="I32">
        <v>0.3</v>
      </c>
      <c r="J32">
        <f t="shared" si="4"/>
        <v>1656</v>
      </c>
      <c r="K32">
        <v>0.3</v>
      </c>
      <c r="L32">
        <v>0</v>
      </c>
      <c r="M32">
        <v>0</v>
      </c>
    </row>
    <row r="33" spans="2:13" x14ac:dyDescent="0.15">
      <c r="B33">
        <v>3055</v>
      </c>
      <c r="C33" t="s">
        <v>75</v>
      </c>
      <c r="D33" s="122">
        <v>2.1269999999999997E-2</v>
      </c>
      <c r="F33" s="122">
        <v>2.1269999999999997E-2</v>
      </c>
      <c r="G33">
        <v>100</v>
      </c>
      <c r="H33" s="123">
        <f t="shared" si="3"/>
        <v>3989.7510096105002</v>
      </c>
      <c r="I33">
        <v>4</v>
      </c>
      <c r="J33">
        <f t="shared" si="4"/>
        <v>400</v>
      </c>
      <c r="K33">
        <v>4</v>
      </c>
      <c r="L33">
        <v>0</v>
      </c>
      <c r="M33">
        <v>0</v>
      </c>
    </row>
    <row r="34" spans="2:13" x14ac:dyDescent="0.15">
      <c r="B34">
        <v>3209</v>
      </c>
      <c r="C34" t="s">
        <v>76</v>
      </c>
      <c r="D34" s="122">
        <v>2.1269999999999997E-2</v>
      </c>
      <c r="E34" s="121"/>
      <c r="F34" s="122">
        <v>2.1269999999999997E-2</v>
      </c>
      <c r="G34">
        <v>60.5</v>
      </c>
      <c r="H34" s="123">
        <f t="shared" si="3"/>
        <v>6594.62976795124</v>
      </c>
      <c r="I34">
        <v>6</v>
      </c>
      <c r="J34">
        <f t="shared" si="4"/>
        <v>363</v>
      </c>
      <c r="K34">
        <v>6</v>
      </c>
      <c r="L34">
        <v>0</v>
      </c>
      <c r="M34">
        <v>0</v>
      </c>
    </row>
    <row r="35" spans="2:13" x14ac:dyDescent="0.15">
      <c r="B35">
        <v>4973</v>
      </c>
      <c r="C35" t="s">
        <v>77</v>
      </c>
      <c r="D35" s="122">
        <v>2.1269999999999997E-2</v>
      </c>
      <c r="E35" s="121"/>
      <c r="F35" s="122">
        <v>2.1269999999999997E-2</v>
      </c>
      <c r="G35">
        <v>109.5</v>
      </c>
      <c r="H35" s="123">
        <f t="shared" si="3"/>
        <v>3643.6082279547945</v>
      </c>
      <c r="I35">
        <v>3</v>
      </c>
      <c r="J35">
        <f t="shared" si="4"/>
        <v>328.5</v>
      </c>
      <c r="K35">
        <v>3</v>
      </c>
      <c r="L35">
        <v>0</v>
      </c>
      <c r="M35">
        <v>0</v>
      </c>
    </row>
    <row r="36" spans="2:13" x14ac:dyDescent="0.15">
      <c r="B36">
        <v>6166</v>
      </c>
      <c r="C36" t="s">
        <v>78</v>
      </c>
      <c r="D36" s="122">
        <v>4.2539999999999994E-2</v>
      </c>
      <c r="E36" s="121"/>
      <c r="F36" s="122">
        <v>4.2539999999999994E-2</v>
      </c>
      <c r="G36">
        <v>92.7</v>
      </c>
      <c r="H36" s="123">
        <f t="shared" si="3"/>
        <v>8607.8770433883492</v>
      </c>
      <c r="I36">
        <v>7</v>
      </c>
      <c r="J36">
        <f t="shared" si="4"/>
        <v>648.9</v>
      </c>
      <c r="K36">
        <v>7</v>
      </c>
      <c r="L36">
        <v>0</v>
      </c>
      <c r="M36">
        <v>0</v>
      </c>
    </row>
    <row r="37" spans="2:13" x14ac:dyDescent="0.15">
      <c r="B37">
        <v>6206</v>
      </c>
      <c r="C37" t="s">
        <v>79</v>
      </c>
      <c r="D37" s="122">
        <v>4.2539999999999994E-2</v>
      </c>
      <c r="E37" s="121"/>
      <c r="F37" s="122">
        <v>4.2539999999999994E-2</v>
      </c>
      <c r="G37">
        <v>130.5</v>
      </c>
      <c r="H37" s="123">
        <f t="shared" si="3"/>
        <v>6114.5609342689659</v>
      </c>
      <c r="I37">
        <v>5</v>
      </c>
      <c r="J37">
        <f t="shared" si="4"/>
        <v>652.5</v>
      </c>
      <c r="K37">
        <v>5</v>
      </c>
      <c r="L37">
        <v>0</v>
      </c>
      <c r="M37">
        <v>0</v>
      </c>
    </row>
    <row r="38" spans="2:13" x14ac:dyDescent="0.15">
      <c r="B38">
        <v>6274</v>
      </c>
      <c r="C38" t="s">
        <v>80</v>
      </c>
      <c r="D38" s="122">
        <v>8.5079999999999989E-2</v>
      </c>
      <c r="E38" s="121"/>
      <c r="F38" s="122">
        <v>8.5079999999999989E-2</v>
      </c>
      <c r="G38">
        <v>1455</v>
      </c>
      <c r="H38" s="123">
        <f t="shared" si="3"/>
        <v>1096.8387655286599</v>
      </c>
      <c r="I38">
        <v>1</v>
      </c>
      <c r="J38">
        <f t="shared" si="4"/>
        <v>1455</v>
      </c>
      <c r="K38">
        <v>1</v>
      </c>
      <c r="L38">
        <v>0</v>
      </c>
      <c r="M38">
        <v>0</v>
      </c>
    </row>
    <row r="39" spans="2:13" x14ac:dyDescent="0.15">
      <c r="B39">
        <v>7610</v>
      </c>
      <c r="C39" t="s">
        <v>81</v>
      </c>
      <c r="D39" s="122">
        <v>4.2539999999999994E-2</v>
      </c>
      <c r="E39" s="121"/>
      <c r="F39" s="122">
        <v>4.2539999999999994E-2</v>
      </c>
      <c r="G39">
        <v>830</v>
      </c>
      <c r="H39" s="123">
        <f t="shared" si="3"/>
        <v>961.3857854483133</v>
      </c>
      <c r="I39">
        <v>1</v>
      </c>
      <c r="J39">
        <f t="shared" si="4"/>
        <v>830</v>
      </c>
      <c r="K39">
        <v>1</v>
      </c>
      <c r="L39">
        <v>0</v>
      </c>
      <c r="M39">
        <v>0</v>
      </c>
    </row>
    <row r="40" spans="2:13" x14ac:dyDescent="0.15">
      <c r="B40">
        <v>8227</v>
      </c>
      <c r="C40" t="s">
        <v>82</v>
      </c>
      <c r="D40" s="122">
        <v>4.2539999999999994E-2</v>
      </c>
      <c r="E40" s="121"/>
      <c r="F40" s="122">
        <v>4.2539999999999994E-2</v>
      </c>
      <c r="G40">
        <v>226</v>
      </c>
      <c r="H40" s="123">
        <f t="shared" si="3"/>
        <v>3530.7531058500003</v>
      </c>
      <c r="I40">
        <v>3</v>
      </c>
      <c r="J40">
        <f t="shared" si="4"/>
        <v>678</v>
      </c>
      <c r="K40">
        <v>3</v>
      </c>
      <c r="L40">
        <v>0</v>
      </c>
      <c r="M40">
        <v>0</v>
      </c>
    </row>
    <row r="41" spans="2:13" x14ac:dyDescent="0.15">
      <c r="B41">
        <v>6531</v>
      </c>
      <c r="C41" t="s">
        <v>83</v>
      </c>
      <c r="D41" s="122">
        <v>4.2539999999999994E-2</v>
      </c>
      <c r="F41" s="122">
        <v>4.2539999999999994E-2</v>
      </c>
      <c r="G41">
        <v>962</v>
      </c>
      <c r="H41" s="123">
        <f t="shared" si="3"/>
        <v>829.47006436808738</v>
      </c>
      <c r="I41">
        <v>1</v>
      </c>
      <c r="J41">
        <f t="shared" si="4"/>
        <v>962</v>
      </c>
      <c r="K41">
        <v>1</v>
      </c>
      <c r="L41">
        <v>0</v>
      </c>
      <c r="M41">
        <v>0</v>
      </c>
    </row>
    <row r="44" spans="2:13" x14ac:dyDescent="0.15">
      <c r="I44">
        <f>586.7-295</f>
        <v>291.70000000000005</v>
      </c>
    </row>
  </sheetData>
  <mergeCells count="2">
    <mergeCell ref="B14:C14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C5" sqref="C5"/>
    </sheetView>
  </sheetViews>
  <sheetFormatPr defaultRowHeight="15" x14ac:dyDescent="0.15"/>
  <cols>
    <col min="2" max="2" width="14.1015625" customWidth="1"/>
    <col min="3" max="3" width="15.30078125" customWidth="1"/>
  </cols>
  <sheetData>
    <row r="3" spans="2:3" x14ac:dyDescent="0.15">
      <c r="B3" s="142" t="s">
        <v>64</v>
      </c>
      <c r="C3" s="142"/>
    </row>
    <row r="4" spans="2:3" x14ac:dyDescent="0.15">
      <c r="B4" s="127" t="s">
        <v>65</v>
      </c>
      <c r="C4" s="128">
        <v>0</v>
      </c>
    </row>
    <row r="5" spans="2:3" x14ac:dyDescent="0.15">
      <c r="B5" s="127" t="s">
        <v>66</v>
      </c>
      <c r="C5" s="2">
        <v>0</v>
      </c>
    </row>
    <row r="6" spans="2:3" x14ac:dyDescent="0.1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2026-09-24T06:36:13Z</dcterms:modified>
  <cp:category/>
  <cp:contentStatus/>
</cp:coreProperties>
</file>