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.DESKTOP-GSQ4N18\Downloads\"/>
    </mc:Choice>
  </mc:AlternateContent>
  <xr:revisionPtr revIDLastSave="0" documentId="13_ncr:1_{8A83E415-D59F-439A-9C65-7F738F4EE69F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8" i="36" l="1"/>
  <c r="R188" i="36" s="1"/>
  <c r="L188" i="36"/>
  <c r="E11" i="17"/>
  <c r="D11" i="2"/>
  <c r="D10" i="2"/>
  <c r="D9" i="2"/>
  <c r="D8" i="2"/>
  <c r="D7" i="2"/>
  <c r="D6" i="2"/>
  <c r="D5" i="2"/>
  <c r="F5" i="2" s="1"/>
  <c r="D5" i="17" s="1"/>
  <c r="D4" i="2"/>
  <c r="F4" i="2" s="1"/>
  <c r="D4" i="17" s="1"/>
  <c r="E7" i="2"/>
  <c r="F8" i="17" s="1"/>
  <c r="E8" i="2"/>
  <c r="F6" i="17" s="1"/>
  <c r="E6" i="2"/>
  <c r="F3" i="17" s="1"/>
  <c r="F10" i="2"/>
  <c r="D10" i="17" s="1"/>
  <c r="F8" i="2"/>
  <c r="D6" i="17" s="1"/>
  <c r="I11" i="17"/>
  <c r="G11" i="17"/>
  <c r="G19" i="17" s="1"/>
  <c r="F4" i="17"/>
  <c r="F5" i="17"/>
  <c r="F7" i="17"/>
  <c r="F10" i="17"/>
  <c r="F9" i="17"/>
  <c r="D17" i="17"/>
  <c r="H17" i="17" s="1"/>
  <c r="J17" i="17" s="1"/>
  <c r="D16" i="17"/>
  <c r="C20" i="2"/>
  <c r="F7" i="2"/>
  <c r="D8" i="17" s="1"/>
  <c r="F9" i="2"/>
  <c r="D9" i="17" s="1"/>
  <c r="F11" i="2"/>
  <c r="D7" i="17" s="1"/>
  <c r="Q188" i="36"/>
  <c r="I7" i="36"/>
  <c r="J7" i="36"/>
  <c r="P188" i="36"/>
  <c r="G7" i="36"/>
  <c r="O188" i="36"/>
  <c r="R186" i="36"/>
  <c r="Q186" i="36"/>
  <c r="P186" i="36"/>
  <c r="O186" i="36"/>
  <c r="N186" i="36"/>
  <c r="R185" i="36"/>
  <c r="Q185" i="36"/>
  <c r="P185" i="36"/>
  <c r="O185" i="36"/>
  <c r="N185" i="36"/>
  <c r="R184" i="36"/>
  <c r="Q184" i="36"/>
  <c r="P184" i="36"/>
  <c r="O184" i="36"/>
  <c r="N184" i="36"/>
  <c r="R183" i="36"/>
  <c r="Q183" i="36"/>
  <c r="P183" i="36"/>
  <c r="O183" i="36"/>
  <c r="N183" i="36"/>
  <c r="R182" i="36"/>
  <c r="Q182" i="36"/>
  <c r="P182" i="36"/>
  <c r="O182" i="36"/>
  <c r="N182" i="36"/>
  <c r="R181" i="36"/>
  <c r="Q181" i="36"/>
  <c r="P181" i="36"/>
  <c r="O181" i="36"/>
  <c r="N181" i="36"/>
  <c r="E14" i="2"/>
  <c r="F6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/>
  <c r="O12" i="17"/>
  <c r="D13" i="17"/>
  <c r="G13" i="17"/>
  <c r="S7" i="36"/>
  <c r="T7" i="36"/>
  <c r="B3" i="36"/>
  <c r="O150" i="36"/>
  <c r="O72" i="36"/>
  <c r="O97" i="36"/>
  <c r="O149" i="36"/>
  <c r="O32" i="36"/>
  <c r="O98" i="36"/>
  <c r="O140" i="36"/>
  <c r="O75" i="36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P39" i="36"/>
  <c r="P72" i="36"/>
  <c r="P32" i="36"/>
  <c r="P71" i="36"/>
  <c r="P29" i="36"/>
  <c r="P122" i="36"/>
  <c r="P126" i="36"/>
  <c r="P34" i="36"/>
  <c r="P50" i="36"/>
  <c r="P100" i="36"/>
  <c r="P22" i="36"/>
  <c r="P55" i="36"/>
  <c r="P57" i="36"/>
  <c r="P73" i="36"/>
  <c r="P61" i="36"/>
  <c r="P41" i="36"/>
  <c r="P99" i="36"/>
  <c r="P48" i="36"/>
  <c r="P103" i="36"/>
  <c r="P87" i="36"/>
  <c r="P82" i="36"/>
  <c r="P45" i="36"/>
  <c r="P38" i="36"/>
  <c r="P25" i="36"/>
  <c r="P86" i="36"/>
  <c r="P131" i="36"/>
  <c r="P180" i="36"/>
  <c r="P93" i="36"/>
  <c r="P26" i="36"/>
  <c r="P154" i="36"/>
  <c r="P91" i="36"/>
  <c r="P90" i="36"/>
  <c r="P58" i="36"/>
  <c r="P14" i="36"/>
  <c r="P173" i="36"/>
  <c r="P18" i="36"/>
  <c r="P119" i="36"/>
  <c r="P148" i="36"/>
  <c r="P8" i="36"/>
  <c r="P19" i="36"/>
  <c r="P144" i="36"/>
  <c r="P12" i="36"/>
  <c r="P67" i="36"/>
  <c r="P150" i="36"/>
  <c r="P139" i="36"/>
  <c r="P95" i="36"/>
  <c r="P13" i="36"/>
  <c r="P63" i="36"/>
  <c r="P42" i="36"/>
  <c r="P83" i="36"/>
  <c r="P128" i="36"/>
  <c r="P115" i="36"/>
  <c r="P117" i="36"/>
  <c r="P107" i="36"/>
  <c r="P151" i="36"/>
  <c r="P145" i="36"/>
  <c r="P169" i="36"/>
  <c r="P30" i="36"/>
  <c r="P161" i="36"/>
  <c r="P80" i="36"/>
  <c r="P53" i="36"/>
  <c r="P137" i="36"/>
  <c r="P159" i="36"/>
  <c r="P125" i="36"/>
  <c r="P37" i="36"/>
  <c r="P74" i="36"/>
  <c r="P56" i="36"/>
  <c r="P130" i="36"/>
  <c r="P152" i="36"/>
  <c r="P112" i="36"/>
  <c r="P20" i="36"/>
  <c r="P92" i="36"/>
  <c r="P21" i="36"/>
  <c r="P16" i="36"/>
  <c r="P104" i="36"/>
  <c r="P156" i="36"/>
  <c r="P78" i="36"/>
  <c r="P44" i="36"/>
  <c r="P76" i="36"/>
  <c r="P105" i="36"/>
  <c r="P113" i="36"/>
  <c r="P149" i="36"/>
  <c r="P179" i="36"/>
  <c r="P36" i="36"/>
  <c r="P106" i="36"/>
  <c r="P40" i="36"/>
  <c r="P31" i="36"/>
  <c r="P108" i="36"/>
  <c r="P170" i="36"/>
  <c r="P96" i="36"/>
  <c r="P162" i="36"/>
  <c r="P120" i="36"/>
  <c r="P118" i="36"/>
  <c r="P160" i="36"/>
  <c r="P158" i="36"/>
  <c r="P69" i="36"/>
  <c r="P155" i="36"/>
  <c r="P43" i="36"/>
  <c r="P47" i="36"/>
  <c r="P136" i="36"/>
  <c r="P49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P178" i="36"/>
  <c r="P177" i="36"/>
  <c r="P176" i="36"/>
  <c r="O178" i="36"/>
  <c r="O177" i="36"/>
  <c r="O176" i="36"/>
  <c r="H16" i="17"/>
  <c r="J16" i="17"/>
  <c r="P65" i="36"/>
  <c r="P141" i="36"/>
  <c r="P9" i="36"/>
  <c r="P59" i="36"/>
  <c r="P15" i="36"/>
  <c r="P172" i="36"/>
  <c r="P166" i="36"/>
  <c r="P140" i="36"/>
  <c r="P167" i="36"/>
  <c r="P84" i="36"/>
  <c r="P60" i="36"/>
  <c r="P114" i="36"/>
  <c r="P54" i="36"/>
  <c r="P79" i="36"/>
  <c r="P77" i="36"/>
  <c r="P75" i="36"/>
  <c r="P98" i="36"/>
  <c r="P27" i="36"/>
  <c r="P127" i="36"/>
  <c r="P157" i="36"/>
  <c r="P121" i="36"/>
  <c r="P81" i="36"/>
  <c r="P124" i="36"/>
  <c r="P62" i="36"/>
  <c r="P146" i="36"/>
  <c r="P153" i="36"/>
  <c r="P85" i="36"/>
  <c r="P143" i="36"/>
  <c r="P116" i="36"/>
  <c r="P66" i="36"/>
  <c r="P174" i="36"/>
  <c r="P51" i="36"/>
  <c r="P68" i="36"/>
  <c r="P35" i="36"/>
  <c r="P33" i="36"/>
  <c r="P11" i="36"/>
  <c r="P142" i="36"/>
  <c r="P164" i="36"/>
  <c r="P46" i="36"/>
  <c r="P23" i="36"/>
  <c r="P138" i="36"/>
  <c r="P28" i="36"/>
  <c r="P147" i="36"/>
  <c r="P163" i="36"/>
  <c r="P89" i="36"/>
  <c r="P17" i="36"/>
  <c r="P129" i="36"/>
  <c r="P97" i="36"/>
  <c r="P168" i="36"/>
  <c r="P175" i="36"/>
  <c r="P102" i="36"/>
  <c r="P64" i="36"/>
  <c r="P110" i="36"/>
  <c r="P133" i="36"/>
  <c r="P70" i="36"/>
  <c r="P111" i="36"/>
  <c r="P52" i="36"/>
  <c r="P109" i="36"/>
  <c r="P24" i="36"/>
  <c r="P10" i="36"/>
  <c r="P123" i="36"/>
  <c r="P94" i="36"/>
  <c r="P101" i="36"/>
  <c r="P171" i="36"/>
  <c r="P132" i="36"/>
  <c r="P165" i="36"/>
  <c r="P88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H13" i="17"/>
  <c r="J13" i="17"/>
  <c r="O10" i="17" l="1"/>
  <c r="H10" i="17"/>
  <c r="J10" i="17" s="1"/>
  <c r="H8" i="17"/>
  <c r="J8" i="17" s="1"/>
  <c r="O8" i="17"/>
  <c r="H9" i="17"/>
  <c r="J9" i="17" s="1"/>
  <c r="O9" i="17"/>
  <c r="H7" i="17"/>
  <c r="J7" i="17" s="1"/>
  <c r="O7" i="17"/>
  <c r="O4" i="17"/>
  <c r="H4" i="17"/>
  <c r="J4" i="17" s="1"/>
  <c r="F11" i="17"/>
  <c r="O6" i="17"/>
  <c r="H6" i="17"/>
  <c r="J6" i="17" s="1"/>
  <c r="H5" i="17"/>
  <c r="J5" i="17" s="1"/>
  <c r="O5" i="17"/>
  <c r="D3" i="17"/>
  <c r="F14" i="2"/>
  <c r="F23" i="2" s="1"/>
  <c r="D15" i="17"/>
  <c r="D11" i="17" l="1"/>
  <c r="H3" i="17"/>
  <c r="O3" i="17"/>
  <c r="O11" i="17" s="1"/>
  <c r="H15" i="17"/>
  <c r="J15" i="17" s="1"/>
  <c r="F20" i="2"/>
  <c r="H27" i="2"/>
  <c r="K188" i="36" l="1"/>
  <c r="D19" i="17"/>
  <c r="D18" i="17"/>
  <c r="J3" i="17"/>
  <c r="H11" i="17"/>
  <c r="J11" i="17" s="1"/>
  <c r="H19" i="17"/>
  <c r="J19" i="17" s="1"/>
  <c r="E16" i="17"/>
  <c r="E6" i="17"/>
  <c r="E10" i="17"/>
  <c r="E7" i="17"/>
  <c r="E17" i="17"/>
  <c r="E9" i="17"/>
  <c r="E2" i="36"/>
  <c r="E4" i="17"/>
  <c r="H34" i="2"/>
  <c r="H33" i="2"/>
  <c r="H36" i="2"/>
  <c r="H35" i="2"/>
  <c r="H29" i="2"/>
  <c r="H37" i="2"/>
  <c r="H31" i="2"/>
  <c r="H41" i="2"/>
  <c r="H32" i="2"/>
  <c r="H30" i="2"/>
  <c r="H40" i="2"/>
  <c r="H43" i="2"/>
  <c r="H39" i="2"/>
  <c r="H42" i="2"/>
  <c r="H28" i="2"/>
  <c r="H38" i="2"/>
  <c r="E5" i="17" l="1"/>
  <c r="D21" i="17"/>
  <c r="D22" i="17" s="1"/>
  <c r="B2" i="36"/>
  <c r="B188" i="36"/>
  <c r="C188" i="36" s="1"/>
  <c r="E19" i="17"/>
  <c r="E3" i="17"/>
  <c r="E8" i="17"/>
  <c r="E15" i="17"/>
  <c r="E12" i="17"/>
  <c r="T188" i="36"/>
  <c r="E188" i="36"/>
  <c r="S188" i="36" l="1"/>
  <c r="N188" i="36"/>
  <c r="D14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<sst xmlns="http://schemas.openxmlformats.org/spreadsheetml/2006/main" count="118" uniqueCount="104">
  <si>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</si>
  <si>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</si>
  <si>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</si>
  <si>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</si>
  <si>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</si>
  <si>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</si>
  <si>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</si>
  <si>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</si>
  <si>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</si>
  <si>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</si>
  <si>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</si>
  <si>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</si>
  <si>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</si>
  <si>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</si>
  <si>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</si>
  <si>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</si>
  <si>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</si>
  <si>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</si>
  <si>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</si>
  <si>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</si>
  <si>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</si>
  <si>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</si>
  <si>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</si>
  <si>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</si>
  <si>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</si>
  <si>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</si>
  <si>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</si>
  <si>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</si>
  <si>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</si>
  <si>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</si>
  <si>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</si>
  <si>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</si>
  <si>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</si>
  <si>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</si>
  <si>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</si>
  <si>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</si>
  <si>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</si>
  <si>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</si>
  <si>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</si>
  <si>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</si>
  <si>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</si>
  <si>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</si>
  <si>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</si>
  <si>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</si>
  <si>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</si>
  <si>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</si>
  <si>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</si>
  <si>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</si>
  <si>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</si>
  <si>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</si>
  <si>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</si>
  <si>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</si>
  <si>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</si>
  <si>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</si>
  <si>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</si>
  <si>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</si>
  <si>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</si>
  <si>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</si>
  <si>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</si>
  <si>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</si>
  <si>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</si>
  <si>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</si>
  <si>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</si>
  <si>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</si>
  <si>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</si>
  <si>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</si>
  <si>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</si>
  <si>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</si>
  <si>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</si>
  <si>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</si>
  <si>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</si>
  <si>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</si>
  <si>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</si>
  <si>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</si>
  <si>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</si>
  <si>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</si>
  <si>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</si>
  <si>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</si>
  <si>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</si>
  <si>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</si>
  <si>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</si>
  <si>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</si>
  <si>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</si>
  <si>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</si>
  <si>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</si>
  <si>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</si>
  <si>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</si>
  <si>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</si>
  <si>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</si>
  <si>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</si>
  <si>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</si>
  <si>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</si>
  <si>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</si>
  <si>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</si>
  <si>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</si>
  <si>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</si>
  <si>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</si>
  <si>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</si>
  <si>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</si>
  <si>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</si>
  <si>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</si>
  <si>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聯茂(6213)</t>
    <phoneticPr fontId="1" type="noConversion"/>
  </si>
  <si>
    <t>台灣50正2</t>
  </si>
  <si>
    <t>台灣50正2(00631L)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</si>
</sst>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總表!$A$7:$A$192</c:f>
              <c:numCache>
                <c:formatCode>m/d/yyyy</c:formatCode>
                <c:ptCount val="186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</c:numCache>
            </c:numRef>
          </c:cat>
          <c:val>
            <c:numRef>
              <c:f>總表!$N$7:$N$192</c:f>
              <c:numCache>
                <c:formatCode>0.0%</c:formatCode>
                <c:ptCount val="186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總表!$A$7:$A$192</c:f>
              <c:numCache>
                <c:formatCode>m/d/yyyy</c:formatCode>
                <c:ptCount val="186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</c:numCache>
            </c:numRef>
          </c:cat>
          <c:val>
            <c:numRef>
              <c:f>總表!$Q$7:$Q$192</c:f>
              <c:numCache>
                <c:formatCode>0.0%</c:formatCode>
                <c:ptCount val="186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0.7007653584697473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總表!$A$7:$A$192</c:f>
              <c:numCache>
                <c:formatCode>m/d/yyyy</c:formatCode>
                <c:ptCount val="186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</c:numCache>
            </c:numRef>
          </c:cat>
          <c:val>
            <c:numRef>
              <c:f>總表!$R$7:$R$192</c:f>
              <c:numCache>
                <c:formatCode>0.0%</c:formatCode>
                <c:ptCount val="186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0.54330209427195819</c:v>
                </c:pt>
                <c:pt idx="181">
                  <c:v>0.57324215490083441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188</xdr:row>
      <xdr:rowOff>185464</xdr:rowOff>
    </xdr:from>
    <xdr:to>
      <xdr:col>20</xdr:col>
      <xdr:colOff>39252</xdr:colOff>
      <xdr:row>209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.DESKTOP-GSQ4N18\Downloads\&#32929;&#31080;&#32317;&#37096;&#20301;&#24115;20261002.xlsx" TargetMode="External"/><Relationship Id="rId1" Type="http://schemas.openxmlformats.org/officeDocument/2006/relationships/externalLinkPath" Target="&#32929;&#31080;&#32317;&#37096;&#20301;&#24115;20261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2090</v>
          </cell>
        </row>
        <row r="5">
          <cell r="B5" t="str">
            <v>富邦科技0052</v>
          </cell>
          <cell r="C5">
            <v>0</v>
          </cell>
          <cell r="D5">
            <v>66</v>
          </cell>
        </row>
        <row r="6">
          <cell r="B6" t="str">
            <v>台灣50正2</v>
          </cell>
          <cell r="C6">
            <v>0</v>
          </cell>
          <cell r="D6">
            <v>39.590000000000003</v>
          </cell>
        </row>
        <row r="7">
          <cell r="B7" t="str">
            <v>騰雲</v>
          </cell>
          <cell r="C7">
            <v>0</v>
          </cell>
          <cell r="D7">
            <v>312.5</v>
          </cell>
        </row>
        <row r="8">
          <cell r="B8" t="str">
            <v>南亞</v>
          </cell>
          <cell r="C8">
            <v>0</v>
          </cell>
          <cell r="D8">
            <v>260</v>
          </cell>
        </row>
        <row r="9">
          <cell r="B9" t="str">
            <v>聯茂</v>
          </cell>
          <cell r="D9">
            <v>684</v>
          </cell>
        </row>
        <row r="10">
          <cell r="B10" t="str">
            <v>仲恩生醫</v>
          </cell>
          <cell r="C10">
            <v>0</v>
          </cell>
          <cell r="D10">
            <v>231.5</v>
          </cell>
        </row>
        <row r="11">
          <cell r="B11" t="str">
            <v>仁新</v>
          </cell>
          <cell r="C11">
            <v>38004</v>
          </cell>
          <cell r="D11">
            <v>182.5</v>
          </cell>
        </row>
        <row r="12">
          <cell r="B12" t="str">
            <v>SPAL</v>
          </cell>
          <cell r="C12">
            <v>0</v>
          </cell>
          <cell r="D12">
            <v>16.47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19"/>
  <sheetViews>
    <sheetView tabSelected="1" topLeftCell="A2" zoomScale="70" zoomScaleNormal="70" workbookViewId="0">
      <pane xSplit="1" ySplit="5" topLeftCell="B167" activePane="bottomRight" state="frozen"/>
      <selection activeCell="A2" sqref="A2"/>
      <selection pane="topRight" activeCell="B5" sqref="B5"/>
      <selection pane="bottomLeft" activeCell="B5" sqref="B5"/>
      <selection pane="bottomRight" activeCell="Y183" sqref="Y183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按股票分類!D19</f>
        <v>27963702</v>
      </c>
      <c r="C2" s="35"/>
      <c r="D2" s="35"/>
      <c r="E2" s="36">
        <f>按股票分類!D11/按股票分類!D19</f>
        <v>1.3880897815317872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46297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6.5" x14ac:dyDescent="0.2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6.5" x14ac:dyDescent="0.2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6.5" x14ac:dyDescent="0.2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6.5" x14ac:dyDescent="0.2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6.5" x14ac:dyDescent="0.2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8" si="334">C181/C$7-1</f>
        <v>1.1452941228735489</v>
      </c>
      <c r="O181" s="61" t="e">
        <f t="shared" ref="O181:O188" si="335">G181/G$7-1</f>
        <v>#REF!</v>
      </c>
      <c r="P181" s="61" t="e">
        <f t="shared" ref="P181:P188" si="336">J181/J$7-1</f>
        <v>#REF!</v>
      </c>
      <c r="Q181" s="61">
        <f t="shared" ref="Q181:Q188" si="337">L181/L$7-1</f>
        <v>0.67412790159557612</v>
      </c>
      <c r="R181" s="61">
        <f t="shared" ref="R181:R188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6.5" x14ac:dyDescent="0.2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6.5" x14ac:dyDescent="0.2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6.5" x14ac:dyDescent="0.2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si="334"/>
        <v>1.4360282447132033</v>
      </c>
      <c r="O184" s="61" t="e">
        <f t="shared" si="335"/>
        <v>#REF!</v>
      </c>
      <c r="P184" s="61" t="e">
        <f t="shared" si="336"/>
        <v>#REF!</v>
      </c>
      <c r="Q184" s="61">
        <f t="shared" si="337"/>
        <v>0.68497411008834108</v>
      </c>
      <c r="R184" s="61">
        <f t="shared" si="338"/>
        <v>0.52178478730360012</v>
      </c>
      <c r="S184" s="83">
        <v>0</v>
      </c>
      <c r="T184" s="62">
        <v>1.3344896077384176</v>
      </c>
      <c r="U184" s="62">
        <v>0</v>
      </c>
    </row>
    <row r="185" spans="1:21" ht="16.5" x14ac:dyDescent="0.2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4"/>
        <v>1.2613608882448584</v>
      </c>
      <c r="O185" s="61" t="e">
        <f t="shared" si="335"/>
        <v>#REF!</v>
      </c>
      <c r="P185" s="61" t="e">
        <f t="shared" si="336"/>
        <v>#REF!</v>
      </c>
      <c r="Q185" s="61">
        <f t="shared" si="337"/>
        <v>0.67119963924366211</v>
      </c>
      <c r="R185" s="61">
        <f t="shared" si="338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6.5" x14ac:dyDescent="0.2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si="334"/>
        <v>1.2547651645306237</v>
      </c>
      <c r="O186" s="61" t="e">
        <f t="shared" si="335"/>
        <v>#REF!</v>
      </c>
      <c r="P186" s="61" t="e">
        <f t="shared" si="336"/>
        <v>#REF!</v>
      </c>
      <c r="Q186" s="61">
        <f t="shared" si="337"/>
        <v>0.68201231511920479</v>
      </c>
      <c r="R186" s="61">
        <f t="shared" si="338"/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6.5" x14ac:dyDescent="0.2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778.92</v>
      </c>
      <c r="N187" s="61">
        <v>1.2315317312810521</v>
      </c>
      <c r="O187" s="61" t="e">
        <v>#REF!</v>
      </c>
      <c r="P187" s="61" t="e">
        <v>#REF!</v>
      </c>
      <c r="Q187" s="61">
        <v>0.69652404834887527</v>
      </c>
      <c r="R187" s="61">
        <v>0.54330209427195819</v>
      </c>
      <c r="S187" s="83">
        <v>-8.39466922750014E-2</v>
      </c>
      <c r="T187" s="62">
        <v>1.3754123949311745</v>
      </c>
      <c r="U187" s="62">
        <v>0</v>
      </c>
    </row>
    <row r="188" spans="1:21" ht="17.100000000000001" customHeight="1" x14ac:dyDescent="0.25">
      <c r="A188" s="55">
        <v>46297</v>
      </c>
      <c r="B188" s="56">
        <f>按股票分類!D19</f>
        <v>27963702</v>
      </c>
      <c r="C188" s="79">
        <f>B188/D188</f>
        <v>22.587129463820549</v>
      </c>
      <c r="D188" s="58">
        <v>1238037</v>
      </c>
      <c r="E188" s="58">
        <f>B188-B187</f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f>按股票分類!D11</f>
        <v>38816129</v>
      </c>
      <c r="L188" s="60">
        <f>L187*(1+0.0025)</f>
        <v>112090.60769999999</v>
      </c>
      <c r="M188" s="60">
        <f>M187*(1+0.0194)</f>
        <v>794.03104800000006</v>
      </c>
      <c r="N188" s="61">
        <f t="shared" si="334"/>
        <v>1.258712946382055</v>
      </c>
      <c r="O188" s="61" t="e">
        <f t="shared" si="335"/>
        <v>#REF!</v>
      </c>
      <c r="P188" s="61" t="e">
        <f t="shared" si="336"/>
        <v>#REF!</v>
      </c>
      <c r="Q188" s="61">
        <f t="shared" si="337"/>
        <v>0.7007653584697473</v>
      </c>
      <c r="R188" s="61">
        <f t="shared" si="338"/>
        <v>0.57324215490083441</v>
      </c>
      <c r="S188" s="83">
        <f>C188/MAX($C$7:C188)-1</f>
        <v>-7.2788687370915039E-2</v>
      </c>
      <c r="T188" s="62">
        <f>K188/B188</f>
        <v>1.3880897815317872</v>
      </c>
      <c r="U188" s="62">
        <v>0</v>
      </c>
    </row>
    <row r="189" spans="1:21" ht="16.5" x14ac:dyDescent="0.25">
      <c r="A189" s="55"/>
      <c r="B189" s="56"/>
      <c r="C189" s="61"/>
      <c r="D189" s="56"/>
      <c r="F189" s="58"/>
      <c r="G189" s="58"/>
      <c r="H189" s="58"/>
      <c r="I189" s="59"/>
      <c r="J189" s="59"/>
      <c r="K189" s="59"/>
      <c r="L189" s="60"/>
      <c r="M189" s="84"/>
      <c r="N189" s="61"/>
      <c r="O189" s="61"/>
      <c r="P189" s="61"/>
      <c r="Q189" s="61"/>
      <c r="R189" s="61"/>
      <c r="S189" s="61"/>
      <c r="T189" s="62"/>
      <c r="U189" s="62"/>
    </row>
    <row r="190" spans="1:21" ht="16.5" x14ac:dyDescent="0.2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1" ht="16.5" x14ac:dyDescent="0.2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1" ht="16.5" x14ac:dyDescent="0.2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3" ht="16.5" x14ac:dyDescent="0.2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3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3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58"/>
      <c r="R195" s="61"/>
      <c r="S195" s="61"/>
      <c r="T195" s="62"/>
      <c r="U195" s="62"/>
    </row>
    <row r="196" spans="1:23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58"/>
      <c r="R196" s="82"/>
      <c r="S196" s="61"/>
      <c r="T196" s="62"/>
      <c r="U196" s="62"/>
    </row>
    <row r="197" spans="1:23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58"/>
      <c r="R197" s="61"/>
      <c r="S197" s="61"/>
      <c r="T197" s="62"/>
      <c r="U197" s="62"/>
    </row>
    <row r="198" spans="1:23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58"/>
      <c r="R198" s="61" t="s">
        <v>21</v>
      </c>
      <c r="S198" s="61"/>
      <c r="T198" s="62"/>
      <c r="U198" s="62"/>
    </row>
    <row r="199" spans="1:23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3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58"/>
      <c r="R200" s="61"/>
      <c r="S200" s="61"/>
      <c r="T200" s="62"/>
      <c r="U200" s="62"/>
    </row>
    <row r="201" spans="1:23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58"/>
      <c r="R201" s="61"/>
      <c r="S201" s="61"/>
      <c r="T201" s="62"/>
      <c r="U201" s="62"/>
    </row>
    <row r="202" spans="1:23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3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  <c r="W203" s="103"/>
    </row>
    <row r="204" spans="1:23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59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6.5" x14ac:dyDescent="0.2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6.5" x14ac:dyDescent="0.2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6.5" x14ac:dyDescent="0.2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6.5" x14ac:dyDescent="0.2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6.5" x14ac:dyDescent="0.2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6.5" x14ac:dyDescent="0.2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6.5" x14ac:dyDescent="0.2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6.5" x14ac:dyDescent="0.2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6.5" x14ac:dyDescent="0.2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6.5" x14ac:dyDescent="0.2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6.5" x14ac:dyDescent="0.2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</sheetData>
  <sheetProtection selectLockedCells="1"/>
  <phoneticPr fontId="1" type="noConversion"/>
  <conditionalFormatting sqref="S2:S5 S7:S188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19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88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88"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</conditionalFormatting>
  <conditionalFormatting sqref="T189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89:T419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88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89:U419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T7:T188</xm:sqref>
        </x14:conditionalFormatting>
        <x14:conditionalFormatting xmlns:xm="http://schemas.microsoft.com/office/excel/2006/main"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T8:T188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T189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T189:T419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U8:U188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U189:U419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opLeftCell="B1" zoomScale="85" zoomScaleNormal="85" workbookViewId="0">
      <selection activeCell="D26" sqref="D26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1.875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99</v>
      </c>
      <c r="D3" s="125">
        <f>帳戶!F6</f>
        <v>11154000</v>
      </c>
      <c r="E3" s="69">
        <f t="shared" ref="E3:E12" si="0">D3/$D$19</f>
        <v>0.3988742263095208</v>
      </c>
      <c r="F3" s="125">
        <f>帳戶!E6</f>
        <v>6661000</v>
      </c>
      <c r="G3" s="125">
        <v>10956000</v>
      </c>
      <c r="H3" s="94">
        <f t="shared" ref="H3" si="1">D3-G3</f>
        <v>198000</v>
      </c>
      <c r="I3" s="92">
        <v>6543000</v>
      </c>
      <c r="J3" s="21">
        <f t="shared" ref="J3" si="2">IFERROR(H3/G3,"n/a")</f>
        <v>1.8072289156626505E-2</v>
      </c>
      <c r="K3" s="29" t="s">
        <v>93</v>
      </c>
      <c r="L3" s="130"/>
      <c r="M3" s="130"/>
      <c r="N3" s="131"/>
      <c r="O3" s="98">
        <f>D3*0.1</f>
        <v>1115400</v>
      </c>
    </row>
    <row r="4" spans="3:15" x14ac:dyDescent="0.25">
      <c r="C4" s="124" t="s">
        <v>86</v>
      </c>
      <c r="D4" s="125">
        <f>帳戶!F4</f>
        <v>10416005</v>
      </c>
      <c r="E4" s="69">
        <f t="shared" si="0"/>
        <v>0.37248304963341405</v>
      </c>
      <c r="F4" s="125">
        <f>帳戶!E4</f>
        <v>0</v>
      </c>
      <c r="G4" s="125">
        <v>13795110</v>
      </c>
      <c r="H4" s="94">
        <f>D4-G4</f>
        <v>-3379105</v>
      </c>
      <c r="I4" s="92">
        <v>0</v>
      </c>
      <c r="J4" s="21">
        <f>IFERROR(H4/G4,"n/a")</f>
        <v>-0.2449494784746189</v>
      </c>
      <c r="K4" s="29" t="s">
        <v>84</v>
      </c>
      <c r="L4" s="130"/>
      <c r="M4" s="130"/>
      <c r="N4" s="131"/>
      <c r="O4" s="98">
        <f t="shared" ref="O4" si="3">D4*0.1</f>
        <v>1041600.5</v>
      </c>
    </row>
    <row r="5" spans="3:15" x14ac:dyDescent="0.25">
      <c r="C5" s="124" t="s">
        <v>95</v>
      </c>
      <c r="D5" s="125">
        <f>帳戶!F5</f>
        <v>5717124</v>
      </c>
      <c r="E5" s="69">
        <f t="shared" si="0"/>
        <v>0.20444803767398179</v>
      </c>
      <c r="F5" s="125">
        <f>帳戶!E5</f>
        <v>0</v>
      </c>
      <c r="G5" s="125">
        <v>2113357.5</v>
      </c>
      <c r="H5" s="94">
        <f t="shared" ref="H5" si="4">D5-G5</f>
        <v>3603766.5</v>
      </c>
      <c r="I5" s="92">
        <v>0</v>
      </c>
      <c r="J5" s="21">
        <f t="shared" ref="J5" si="5">IFERROR(H5/G5,"n/a")</f>
        <v>1.7052327871645001</v>
      </c>
      <c r="K5" s="29" t="s">
        <v>84</v>
      </c>
      <c r="L5" s="130"/>
      <c r="M5" s="130"/>
      <c r="N5" s="131"/>
      <c r="O5" s="98">
        <f t="shared" ref="O5" si="6">D5*0.1</f>
        <v>571712.4</v>
      </c>
    </row>
    <row r="6" spans="3:15" x14ac:dyDescent="0.25">
      <c r="C6" s="124" t="s">
        <v>100</v>
      </c>
      <c r="D6" s="125">
        <f>帳戶!F8</f>
        <v>2860000</v>
      </c>
      <c r="E6" s="69">
        <f t="shared" si="0"/>
        <v>0.10227544264346687</v>
      </c>
      <c r="F6" s="125">
        <f>帳戶!E8</f>
        <v>1683000</v>
      </c>
      <c r="G6" s="125">
        <v>2540000</v>
      </c>
      <c r="H6" s="94">
        <f t="shared" ref="H6" si="7">D6-G6</f>
        <v>320000</v>
      </c>
      <c r="I6" s="92">
        <v>1527000</v>
      </c>
      <c r="J6" s="21">
        <f t="shared" ref="J6" si="8">IFERROR(H6/G6,"n/a")</f>
        <v>0.12598425196850394</v>
      </c>
      <c r="K6" s="29" t="s">
        <v>93</v>
      </c>
      <c r="L6" s="130"/>
      <c r="M6" s="130"/>
      <c r="N6" s="131"/>
      <c r="O6" s="98">
        <f t="shared" ref="O6" si="9">D6*0.1</f>
        <v>286000</v>
      </c>
    </row>
    <row r="7" spans="3:15" x14ac:dyDescent="0.25">
      <c r="C7" s="124" t="s">
        <v>89</v>
      </c>
      <c r="D7" s="125">
        <f>帳戶!F11</f>
        <v>2604140</v>
      </c>
      <c r="E7" s="69">
        <f t="shared" si="0"/>
        <v>9.3125724197747492E-2</v>
      </c>
      <c r="F7" s="125">
        <f>帳戶!E11</f>
        <v>0</v>
      </c>
      <c r="G7" s="125">
        <v>2635290</v>
      </c>
      <c r="H7" s="94">
        <f t="shared" ref="H7" si="10">D7-G7</f>
        <v>-31150</v>
      </c>
      <c r="I7" s="92">
        <v>0</v>
      </c>
      <c r="J7" s="21">
        <f t="shared" ref="J7" si="11">IFERROR(H7/G7,"n/a")</f>
        <v>-1.1820330969267139E-2</v>
      </c>
      <c r="K7" s="29" t="s">
        <v>87</v>
      </c>
      <c r="L7" s="130"/>
      <c r="M7" s="130"/>
      <c r="N7" s="131"/>
      <c r="O7" s="98">
        <f>D7*0.1</f>
        <v>260414</v>
      </c>
    </row>
    <row r="8" spans="3:15" x14ac:dyDescent="0.25">
      <c r="C8" s="124" t="s">
        <v>103</v>
      </c>
      <c r="D8" s="125">
        <f>帳戶!F7</f>
        <v>2137860</v>
      </c>
      <c r="E8" s="69">
        <f t="shared" si="0"/>
        <v>7.6451250982434299E-2</v>
      </c>
      <c r="F8" s="125">
        <f>帳戶!E7</f>
        <v>207000</v>
      </c>
      <c r="G8" s="125">
        <v>2140020</v>
      </c>
      <c r="H8" s="94">
        <f>D8-G8</f>
        <v>-2160</v>
      </c>
      <c r="I8" s="92">
        <v>0</v>
      </c>
      <c r="J8" s="21">
        <f>IFERROR(H8/G8,"n/a")</f>
        <v>-1.0093363613424174E-3</v>
      </c>
      <c r="K8" s="29" t="s">
        <v>93</v>
      </c>
      <c r="L8" s="130"/>
      <c r="M8" s="130"/>
      <c r="N8" s="131"/>
      <c r="O8" s="98">
        <f>D8*0.1</f>
        <v>213786</v>
      </c>
    </row>
    <row r="9" spans="3:15" x14ac:dyDescent="0.25">
      <c r="C9" s="124" t="s">
        <v>101</v>
      </c>
      <c r="D9" s="125">
        <f>帳戶!F9</f>
        <v>2052000</v>
      </c>
      <c r="E9" s="69">
        <f t="shared" si="0"/>
        <v>7.3380842064473442E-2</v>
      </c>
      <c r="F9" s="125">
        <f>帳戶!E9</f>
        <v>1153000</v>
      </c>
      <c r="G9" s="125">
        <v>1929000</v>
      </c>
      <c r="H9" s="94">
        <f t="shared" ref="H9" si="12">D9-G9</f>
        <v>123000</v>
      </c>
      <c r="I9" s="92">
        <v>1153000</v>
      </c>
      <c r="J9" s="21">
        <f t="shared" ref="J9" si="13">IFERROR(H9/G9,"n/a")</f>
        <v>6.3763608087091764E-2</v>
      </c>
      <c r="K9" s="29" t="s">
        <v>93</v>
      </c>
      <c r="L9" s="130"/>
      <c r="M9" s="130"/>
      <c r="N9" s="131"/>
      <c r="O9" s="98">
        <f>D9*0.1</f>
        <v>205200</v>
      </c>
    </row>
    <row r="10" spans="3:15" x14ac:dyDescent="0.25">
      <c r="C10" s="124" t="s">
        <v>92</v>
      </c>
      <c r="D10" s="125">
        <f>帳戶!F10</f>
        <v>1875000</v>
      </c>
      <c r="E10" s="69">
        <f t="shared" si="0"/>
        <v>6.7051208026748396E-2</v>
      </c>
      <c r="F10" s="125">
        <f>帳戶!E10</f>
        <v>1149000</v>
      </c>
      <c r="G10" s="125">
        <v>1890000</v>
      </c>
      <c r="H10" s="94">
        <f>D10-G10</f>
        <v>-15000</v>
      </c>
      <c r="I10" s="92">
        <v>1149000</v>
      </c>
      <c r="J10" s="21">
        <f>IFERROR(H10/G10,"n/a")</f>
        <v>-7.9365079365079361E-3</v>
      </c>
      <c r="K10" s="29" t="s">
        <v>90</v>
      </c>
      <c r="L10" s="130"/>
      <c r="M10" s="130"/>
      <c r="N10" s="131"/>
      <c r="O10" s="98">
        <f>D10*0.1</f>
        <v>187500</v>
      </c>
    </row>
    <row r="11" spans="3:15" ht="17.25" thickBot="1" x14ac:dyDescent="0.3">
      <c r="C11" s="18" t="s">
        <v>30</v>
      </c>
      <c r="D11" s="90">
        <f>SUM(D3:D10)</f>
        <v>38816129</v>
      </c>
      <c r="E11" s="118">
        <f>SUM(E3:E10)</f>
        <v>1.388089781531787</v>
      </c>
      <c r="F11" s="90">
        <f>SUM(F3:F10)</f>
        <v>10853000</v>
      </c>
      <c r="G11" s="90">
        <f>SUM(G3:G10)</f>
        <v>37998777.5</v>
      </c>
      <c r="H11" s="90">
        <f>SUM(H3:H10)</f>
        <v>817351.5</v>
      </c>
      <c r="I11" s="90">
        <f>SUM(I3:I10)</f>
        <v>10372000</v>
      </c>
      <c r="J11" s="86">
        <f t="shared" ref="J11:J13" si="14">IFERROR(H11/G11,"n/a")</f>
        <v>2.1509941997476103E-2</v>
      </c>
      <c r="K11" s="86"/>
      <c r="L11" s="86"/>
      <c r="M11" s="86"/>
      <c r="N11" s="86"/>
      <c r="O11" s="126">
        <f>SUM(O3:O10)</f>
        <v>3881612.9</v>
      </c>
    </row>
    <row r="12" spans="3:15" ht="16.5" customHeight="1" x14ac:dyDescent="0.25">
      <c r="C12" s="87"/>
      <c r="D12" s="104">
        <v>0</v>
      </c>
      <c r="E12" s="106">
        <f t="shared" si="0"/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4"/>
        <v>n/a</v>
      </c>
      <c r="K12" s="107"/>
      <c r="L12" s="107"/>
      <c r="M12" s="107"/>
      <c r="N12" s="107"/>
      <c r="O12" s="100">
        <f>D12*0.1</f>
        <v>0</v>
      </c>
    </row>
    <row r="13" spans="3:15" ht="17.25" thickBot="1" x14ac:dyDescent="0.3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4"/>
        <v>n/a</v>
      </c>
      <c r="K13" s="86"/>
      <c r="L13" s="86"/>
      <c r="M13" s="86"/>
      <c r="N13" s="86"/>
      <c r="O13" s="99">
        <f>SUM(0)</f>
        <v>0</v>
      </c>
    </row>
    <row r="14" spans="3:15" x14ac:dyDescent="0.25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25">
      <c r="C15" s="71" t="s">
        <v>32</v>
      </c>
      <c r="D15" s="91">
        <f>帳戶!C20</f>
        <v>573</v>
      </c>
      <c r="E15" s="69">
        <f>D15/$D$19</f>
        <v>2.0490849172974307E-5</v>
      </c>
      <c r="F15" s="69"/>
      <c r="G15" s="91">
        <v>411</v>
      </c>
      <c r="H15" s="94">
        <f>D15-G15</f>
        <v>162</v>
      </c>
      <c r="I15" s="22"/>
      <c r="J15" s="70">
        <f>H15/G15</f>
        <v>0.39416058394160586</v>
      </c>
      <c r="K15" s="29" t="s">
        <v>32</v>
      </c>
      <c r="L15" s="29"/>
      <c r="M15" s="29"/>
      <c r="N15" s="29"/>
      <c r="O15" s="98"/>
    </row>
    <row r="16" spans="3:15" x14ac:dyDescent="0.2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25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7.25" thickBot="1" x14ac:dyDescent="0.3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7.25" thickBot="1" x14ac:dyDescent="0.3">
      <c r="C19" s="18" t="s">
        <v>30</v>
      </c>
      <c r="D19" s="90">
        <f>D11+D15-F11+D17+D16</f>
        <v>27963702</v>
      </c>
      <c r="E19" s="118">
        <f>D19/$D$19</f>
        <v>1</v>
      </c>
      <c r="F19" s="20"/>
      <c r="G19" s="90">
        <f>G11+G15-I11+G17+G16</f>
        <v>27627188.5</v>
      </c>
      <c r="H19" s="95">
        <f t="shared" ref="H19" si="15">D19-G19</f>
        <v>336513.5</v>
      </c>
      <c r="I19" s="19"/>
      <c r="J19" s="20">
        <f>H19/G19</f>
        <v>1.2180519201220928E-2</v>
      </c>
      <c r="K19" s="20"/>
      <c r="L19" s="20"/>
      <c r="M19" s="20"/>
      <c r="N19" s="20"/>
      <c r="O19" s="99"/>
    </row>
    <row r="20" spans="2:15" x14ac:dyDescent="0.25">
      <c r="C20" s="119" t="s">
        <v>35</v>
      </c>
      <c r="D20" s="120">
        <v>27627188.5</v>
      </c>
      <c r="E20" s="23"/>
      <c r="G20" s="23"/>
      <c r="I20" s="26"/>
      <c r="O20" s="97"/>
    </row>
    <row r="21" spans="2:15" ht="18.75" customHeight="1" x14ac:dyDescent="0.25">
      <c r="C21" s="11" t="s">
        <v>36</v>
      </c>
      <c r="D21" s="93">
        <f>D19-D20</f>
        <v>336513.5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7.25" thickBot="1" x14ac:dyDescent="0.3">
      <c r="C22" s="12" t="s">
        <v>37</v>
      </c>
      <c r="D22" s="13">
        <f>D21/D20</f>
        <v>1.2180519201220928E-2</v>
      </c>
      <c r="E22" s="23"/>
      <c r="F22" s="24"/>
      <c r="G22" s="23"/>
      <c r="H22" s="24"/>
      <c r="O22" s="97"/>
    </row>
    <row r="23" spans="2:15" x14ac:dyDescent="0.2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25">
      <c r="D24" s="25"/>
      <c r="E24" s="25"/>
    </row>
    <row r="26" spans="2:15" ht="17.25" customHeight="1" x14ac:dyDescent="0.25"/>
    <row r="28" spans="2:15" x14ac:dyDescent="0.25">
      <c r="G28" t="s">
        <v>21</v>
      </c>
    </row>
    <row r="29" spans="2:15" x14ac:dyDescent="0.25">
      <c r="B29" t="s">
        <v>53</v>
      </c>
    </row>
  </sheetData>
  <phoneticPr fontId="1" type="noConversion"/>
  <conditionalFormatting sqref="D2"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</conditionalFormatting>
  <conditionalFormatting sqref="E3:E13">
    <cfRule type="dataBar" priority="1481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1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1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1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</conditionalFormatting>
  <conditionalFormatting sqref="E3:E14">
    <cfRule type="dataBar" priority="1482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48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2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{22B55D4C-5A64-4D97-AB73-6D5957C3CB2B}</x14:id>
        </ext>
      </extLst>
    </cfRule>
  </conditionalFormatting>
  <conditionalFormatting sqref="E14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</conditionalFormatting>
  <conditionalFormatting sqref="E15"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</conditionalFormatting>
  <conditionalFormatting sqref="E18:E20"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</conditionalFormatting>
  <conditionalFormatting sqref="E22"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</conditionalFormatting>
  <conditionalFormatting sqref="F2 F22 F18:F19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</conditionalFormatting>
  <conditionalFormatting sqref="F16:F22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</conditionalFormatting>
  <conditionalFormatting sqref="F18:F20 F22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</conditionalFormatting>
  <conditionalFormatting sqref="F22"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1 H11 O1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22B55D4C-5A64-4D97-AB73-6D5957C3CB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zoomScaleNormal="100" workbookViewId="0">
      <selection activeCell="E28" sqref="E28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57074</v>
      </c>
      <c r="D4" s="3">
        <f>VLOOKUP(B4,'[1]元大(自己)'!$B$4:$D$12,3,0)</f>
        <v>182.5</v>
      </c>
      <c r="E4" s="2">
        <v>0</v>
      </c>
      <c r="F4" s="2">
        <f t="shared" ref="F4:F10" si="0">C4*D4</f>
        <v>10416005</v>
      </c>
    </row>
    <row r="5" spans="2:6" x14ac:dyDescent="0.25">
      <c r="B5" s="7" t="s">
        <v>94</v>
      </c>
      <c r="C5" s="2">
        <v>24696</v>
      </c>
      <c r="D5" s="3">
        <f>VLOOKUP(B5,'[1]元大(自己)'!$B$4:$D$12,3,0)</f>
        <v>231.5</v>
      </c>
      <c r="E5" s="2">
        <v>0</v>
      </c>
      <c r="F5" s="2">
        <f t="shared" si="0"/>
        <v>5717124</v>
      </c>
    </row>
    <row r="6" spans="2:6" x14ac:dyDescent="0.25">
      <c r="B6" s="7" t="s">
        <v>96</v>
      </c>
      <c r="C6" s="2">
        <v>169000</v>
      </c>
      <c r="D6" s="3">
        <f>VLOOKUP(B6,'[1]元大(自己)'!$B$4:$D$12,3,0)</f>
        <v>66</v>
      </c>
      <c r="E6" s="2">
        <f>6543000+118000</f>
        <v>6661000</v>
      </c>
      <c r="F6" s="2">
        <f t="shared" si="0"/>
        <v>11154000</v>
      </c>
    </row>
    <row r="7" spans="2:6" x14ac:dyDescent="0.25">
      <c r="B7" s="7" t="s">
        <v>102</v>
      </c>
      <c r="C7" s="2">
        <v>54000</v>
      </c>
      <c r="D7" s="3">
        <f>VLOOKUP(B7,'[1]元大(自己)'!$B$4:$D$12,3,0)</f>
        <v>39.590000000000003</v>
      </c>
      <c r="E7" s="2">
        <f>23000*9</f>
        <v>207000</v>
      </c>
      <c r="F7" s="2">
        <f t="shared" ref="F7" si="1">C7*D7</f>
        <v>2137860</v>
      </c>
    </row>
    <row r="8" spans="2:6" x14ac:dyDescent="0.25">
      <c r="B8" s="7" t="s">
        <v>97</v>
      </c>
      <c r="C8" s="2">
        <v>11000</v>
      </c>
      <c r="D8" s="3">
        <f>VLOOKUP(B8,'[1]元大(自己)'!$B$4:$D$12,3,0)</f>
        <v>260</v>
      </c>
      <c r="E8" s="2">
        <f>1527000+156000</f>
        <v>1683000</v>
      </c>
      <c r="F8" s="2">
        <f t="shared" si="0"/>
        <v>2860000</v>
      </c>
    </row>
    <row r="9" spans="2:6" x14ac:dyDescent="0.25">
      <c r="B9" s="7" t="s">
        <v>98</v>
      </c>
      <c r="C9" s="2">
        <v>3000</v>
      </c>
      <c r="D9" s="3">
        <f>VLOOKUP(B9,'[1]元大(自己)'!$B$4:$D$12,3,0)</f>
        <v>684</v>
      </c>
      <c r="E9" s="2">
        <v>1153000</v>
      </c>
      <c r="F9" s="2">
        <f t="shared" si="0"/>
        <v>2052000</v>
      </c>
    </row>
    <row r="10" spans="2:6" x14ac:dyDescent="0.25">
      <c r="B10" s="7" t="s">
        <v>91</v>
      </c>
      <c r="C10" s="2">
        <v>6000</v>
      </c>
      <c r="D10" s="3">
        <f>VLOOKUP(B10,'[1]元大(自己)'!$B$4:$D$12,3,0)</f>
        <v>312.5</v>
      </c>
      <c r="E10" s="2">
        <v>1149000</v>
      </c>
      <c r="F10" s="2">
        <f t="shared" si="0"/>
        <v>1875000</v>
      </c>
    </row>
    <row r="11" spans="2:6" x14ac:dyDescent="0.25">
      <c r="B11" s="7" t="s">
        <v>88</v>
      </c>
      <c r="C11" s="2">
        <v>1246</v>
      </c>
      <c r="D11" s="3">
        <f>VLOOKUP(B11,'[1]元大(自己)'!$B$4:$D$12,3,0)</f>
        <v>2090</v>
      </c>
      <c r="E11" s="2">
        <v>0</v>
      </c>
      <c r="F11" s="2">
        <f t="shared" ref="F11" si="2">C11*D11</f>
        <v>2604140</v>
      </c>
    </row>
    <row r="12" spans="2:6" x14ac:dyDescent="0.25">
      <c r="B12" s="7"/>
      <c r="C12" s="2"/>
      <c r="D12" s="32"/>
      <c r="E12" s="3"/>
      <c r="F12" s="3"/>
    </row>
    <row r="13" spans="2:6" x14ac:dyDescent="0.25">
      <c r="C13" s="85"/>
    </row>
    <row r="14" spans="2:6" x14ac:dyDescent="0.25">
      <c r="D14" s="4" t="s">
        <v>57</v>
      </c>
      <c r="E14" s="9">
        <f>SUM(E4:E11)</f>
        <v>10853000</v>
      </c>
      <c r="F14" s="9">
        <f>SUM(F4:F11)</f>
        <v>38816129</v>
      </c>
    </row>
    <row r="15" spans="2:6" ht="17.25" thickBot="1" x14ac:dyDescent="0.3"/>
    <row r="16" spans="2:6" x14ac:dyDescent="0.25">
      <c r="B16" s="138" t="s">
        <v>32</v>
      </c>
      <c r="C16" s="139"/>
      <c r="D16" s="5"/>
      <c r="E16" s="5"/>
      <c r="F16" s="5"/>
    </row>
    <row r="17" spans="2:13" x14ac:dyDescent="0.25">
      <c r="B17" s="72" t="s">
        <v>43</v>
      </c>
      <c r="C17" s="8">
        <v>1075212</v>
      </c>
      <c r="E17" s="132">
        <v>31.9</v>
      </c>
      <c r="F17" s="5"/>
    </row>
    <row r="18" spans="2:13" x14ac:dyDescent="0.25">
      <c r="B18" s="72" t="s">
        <v>44</v>
      </c>
      <c r="C18" s="8">
        <v>-1074801</v>
      </c>
      <c r="E18" s="5"/>
      <c r="F18" s="5"/>
    </row>
    <row r="19" spans="2:13" x14ac:dyDescent="0.25">
      <c r="B19" s="72" t="s">
        <v>45</v>
      </c>
      <c r="C19" s="8">
        <v>162</v>
      </c>
      <c r="E19" s="5"/>
      <c r="F19" s="5"/>
    </row>
    <row r="20" spans="2:13" ht="17.25" thickBot="1" x14ac:dyDescent="0.3">
      <c r="B20" s="73" t="s">
        <v>46</v>
      </c>
      <c r="C20" s="74">
        <f>SUM(C17:C19)</f>
        <v>573</v>
      </c>
      <c r="F20" s="129">
        <f>F23+期貨!C4</f>
        <v>27963702</v>
      </c>
    </row>
    <row r="21" spans="2:13" ht="17.25" thickBot="1" x14ac:dyDescent="0.3">
      <c r="B21" s="75" t="s">
        <v>33</v>
      </c>
      <c r="C21" s="76">
        <v>0</v>
      </c>
      <c r="F21" s="23"/>
    </row>
    <row r="23" spans="2:13" x14ac:dyDescent="0.25">
      <c r="D23" s="6" t="s">
        <v>47</v>
      </c>
      <c r="E23" s="6"/>
      <c r="F23" s="10">
        <f>F14+C20+C21-E14</f>
        <v>27963702</v>
      </c>
    </row>
    <row r="25" spans="2:13" x14ac:dyDescent="0.25">
      <c r="F25" s="129"/>
    </row>
    <row r="26" spans="2:13" x14ac:dyDescent="0.25">
      <c r="F26" s="23"/>
    </row>
    <row r="27" spans="2:13" x14ac:dyDescent="0.25">
      <c r="D27" s="121">
        <f>SUM(D28:D43)</f>
        <v>0.99969000000000019</v>
      </c>
      <c r="H27" s="23">
        <f>(F23+期貨!C4)*0.67</f>
        <v>18735680.34</v>
      </c>
      <c r="K27" t="s">
        <v>60</v>
      </c>
      <c r="L27" t="s">
        <v>61</v>
      </c>
      <c r="M27" t="s">
        <v>62</v>
      </c>
    </row>
    <row r="28" spans="2:13" x14ac:dyDescent="0.25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1492.5390293325843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25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3">$H$27*F29/G29</f>
        <v>4640.5580300646288</v>
      </c>
      <c r="I29">
        <v>4</v>
      </c>
      <c r="J29">
        <f t="shared" ref="J29:J43" si="4">I29*G29</f>
        <v>1374</v>
      </c>
      <c r="K29">
        <v>4</v>
      </c>
      <c r="L29">
        <v>0</v>
      </c>
      <c r="M29">
        <v>0</v>
      </c>
    </row>
    <row r="30" spans="2:13" x14ac:dyDescent="0.25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3"/>
        <v>905.6998200722727</v>
      </c>
      <c r="I30">
        <v>1</v>
      </c>
      <c r="J30">
        <f t="shared" si="4"/>
        <v>1760</v>
      </c>
      <c r="K30">
        <v>1</v>
      </c>
      <c r="L30">
        <v>0</v>
      </c>
      <c r="M30">
        <v>0</v>
      </c>
    </row>
    <row r="31" spans="2:13" x14ac:dyDescent="0.25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3"/>
        <v>4097.7678234632385</v>
      </c>
      <c r="I31">
        <v>4</v>
      </c>
      <c r="J31">
        <f t="shared" si="4"/>
        <v>778</v>
      </c>
      <c r="K31">
        <v>4</v>
      </c>
      <c r="L31">
        <v>0</v>
      </c>
      <c r="M31">
        <v>0</v>
      </c>
    </row>
    <row r="32" spans="2:13" x14ac:dyDescent="0.25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3"/>
        <v>3113.3431314984373</v>
      </c>
      <c r="I32">
        <v>3</v>
      </c>
      <c r="J32">
        <f t="shared" si="4"/>
        <v>768</v>
      </c>
      <c r="K32">
        <v>3</v>
      </c>
      <c r="L32">
        <v>0</v>
      </c>
      <c r="M32">
        <v>0</v>
      </c>
    </row>
    <row r="33" spans="2:13" x14ac:dyDescent="0.25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3"/>
        <v>6026.5848140914932</v>
      </c>
      <c r="I33">
        <v>5</v>
      </c>
      <c r="J33">
        <f t="shared" si="4"/>
        <v>1322.5</v>
      </c>
      <c r="K33">
        <v>5</v>
      </c>
      <c r="L33">
        <v>0</v>
      </c>
      <c r="M33">
        <v>0</v>
      </c>
    </row>
    <row r="34" spans="2:13" x14ac:dyDescent="0.25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3"/>
        <v>288.77385567521736</v>
      </c>
      <c r="I34">
        <v>0.3</v>
      </c>
      <c r="J34">
        <f t="shared" si="4"/>
        <v>1656</v>
      </c>
      <c r="K34">
        <v>0.3</v>
      </c>
      <c r="L34">
        <v>0</v>
      </c>
      <c r="M34">
        <v>0</v>
      </c>
    </row>
    <row r="35" spans="2:13" x14ac:dyDescent="0.25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3"/>
        <v>3985.0792083179999</v>
      </c>
      <c r="I35">
        <v>4</v>
      </c>
      <c r="J35">
        <f t="shared" si="4"/>
        <v>400</v>
      </c>
      <c r="K35">
        <v>4</v>
      </c>
      <c r="L35">
        <v>0</v>
      </c>
      <c r="M35">
        <v>0</v>
      </c>
    </row>
    <row r="36" spans="2:13" x14ac:dyDescent="0.25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3"/>
        <v>6586.907782343801</v>
      </c>
      <c r="I36">
        <v>6</v>
      </c>
      <c r="J36">
        <f t="shared" si="4"/>
        <v>363</v>
      </c>
      <c r="K36">
        <v>6</v>
      </c>
      <c r="L36">
        <v>0</v>
      </c>
      <c r="M36">
        <v>0</v>
      </c>
    </row>
    <row r="37" spans="2:13" x14ac:dyDescent="0.25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3"/>
        <v>3639.341742756164</v>
      </c>
      <c r="I37">
        <v>3</v>
      </c>
      <c r="J37">
        <f t="shared" si="4"/>
        <v>328.5</v>
      </c>
      <c r="K37">
        <v>3</v>
      </c>
      <c r="L37">
        <v>0</v>
      </c>
      <c r="M37">
        <v>0</v>
      </c>
    </row>
    <row r="38" spans="2:13" x14ac:dyDescent="0.25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3"/>
        <v>8597.7976446990288</v>
      </c>
      <c r="I38">
        <v>7</v>
      </c>
      <c r="J38">
        <f t="shared" si="4"/>
        <v>648.9</v>
      </c>
      <c r="K38">
        <v>7</v>
      </c>
      <c r="L38">
        <v>0</v>
      </c>
      <c r="M38">
        <v>0</v>
      </c>
    </row>
    <row r="39" spans="2:13" x14ac:dyDescent="0.25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3"/>
        <v>6107.4010855448269</v>
      </c>
      <c r="I39">
        <v>5</v>
      </c>
      <c r="J39">
        <f t="shared" si="4"/>
        <v>652.5</v>
      </c>
      <c r="K39">
        <v>5</v>
      </c>
      <c r="L39">
        <v>0</v>
      </c>
      <c r="M39">
        <v>0</v>
      </c>
    </row>
    <row r="40" spans="2:13" x14ac:dyDescent="0.25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3"/>
        <v>1095.5544215307216</v>
      </c>
      <c r="I40">
        <v>1</v>
      </c>
      <c r="J40">
        <f t="shared" si="4"/>
        <v>1455</v>
      </c>
      <c r="K40">
        <v>1</v>
      </c>
      <c r="L40">
        <v>0</v>
      </c>
      <c r="M40">
        <v>0</v>
      </c>
    </row>
    <row r="41" spans="2:13" x14ac:dyDescent="0.25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3"/>
        <v>960.2600501971084</v>
      </c>
      <c r="I41">
        <v>1</v>
      </c>
      <c r="J41">
        <f t="shared" si="4"/>
        <v>830</v>
      </c>
      <c r="K41">
        <v>1</v>
      </c>
      <c r="L41">
        <v>0</v>
      </c>
      <c r="M41">
        <v>0</v>
      </c>
    </row>
    <row r="42" spans="2:13" x14ac:dyDescent="0.25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3"/>
        <v>3526.6187684230085</v>
      </c>
      <c r="I42">
        <v>3</v>
      </c>
      <c r="J42">
        <f t="shared" si="4"/>
        <v>678</v>
      </c>
      <c r="K42">
        <v>3</v>
      </c>
      <c r="L42">
        <v>0</v>
      </c>
      <c r="M42">
        <v>0</v>
      </c>
    </row>
    <row r="43" spans="2:13" x14ac:dyDescent="0.25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3"/>
        <v>828.49879590810804</v>
      </c>
      <c r="I43">
        <v>1</v>
      </c>
      <c r="J43">
        <f t="shared" si="4"/>
        <v>962</v>
      </c>
      <c r="K43">
        <v>1</v>
      </c>
      <c r="L43">
        <v>0</v>
      </c>
      <c r="M43">
        <v>0</v>
      </c>
    </row>
    <row r="46" spans="2:13" x14ac:dyDescent="0.25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2026-10-02T05:36:30Z</dcterms:modified>
  <cp:category/>
  <cp:contentStatus/>
</cp:coreProperties>
</file>