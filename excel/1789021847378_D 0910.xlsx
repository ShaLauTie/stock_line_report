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09\"/>
    </mc:Choice>
  </mc:AlternateContent>
  <xr:revisionPtr revIDLastSave="0" documentId="13_ncr:1_{C4B29680-EA96-40E0-AAD8-3EE3AF5765D6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4" i="36" l="1"/>
  <c r="L174" i="36"/>
  <c r="Q174" i="36" s="1"/>
  <c r="R173" i="36"/>
  <c r="Q173" i="36"/>
  <c r="P173" i="36"/>
  <c r="O173" i="36"/>
  <c r="N173" i="36"/>
  <c r="R172" i="36"/>
  <c r="Q172" i="36"/>
  <c r="P172" i="36"/>
  <c r="O172" i="36"/>
  <c r="N172" i="36"/>
  <c r="R171" i="36"/>
  <c r="Q171" i="36"/>
  <c r="P171" i="36"/>
  <c r="O171" i="36"/>
  <c r="N171" i="36"/>
  <c r="R170" i="36"/>
  <c r="Q170" i="36"/>
  <c r="P170" i="36"/>
  <c r="O170" i="36"/>
  <c r="N170" i="36"/>
  <c r="R169" i="36"/>
  <c r="Q169" i="36"/>
  <c r="P169" i="36"/>
  <c r="O169" i="36"/>
  <c r="N169" i="36"/>
  <c r="R168" i="36"/>
  <c r="Q168" i="36"/>
  <c r="P168" i="36"/>
  <c r="O168" i="36"/>
  <c r="N168" i="36"/>
  <c r="R167" i="36"/>
  <c r="Q167" i="36"/>
  <c r="P167" i="36"/>
  <c r="O167" i="36"/>
  <c r="N167" i="36"/>
  <c r="R166" i="36"/>
  <c r="Q166" i="36"/>
  <c r="P166" i="36"/>
  <c r="O166" i="36"/>
  <c r="N166" i="36"/>
  <c r="R165" i="36"/>
  <c r="Q165" i="36"/>
  <c r="P165" i="36"/>
  <c r="O165" i="36"/>
  <c r="N165" i="36"/>
  <c r="R164" i="36"/>
  <c r="Q164" i="36"/>
  <c r="P164" i="36"/>
  <c r="O164" i="36"/>
  <c r="N164" i="36"/>
  <c r="D11" i="2"/>
  <c r="F11" i="2" s="1"/>
  <c r="D6" i="17" s="1"/>
  <c r="D10" i="2"/>
  <c r="F10" i="2" s="1"/>
  <c r="D10" i="17" s="1"/>
  <c r="D9" i="2"/>
  <c r="F9" i="2" s="1"/>
  <c r="D8" i="2"/>
  <c r="F8" i="2" s="1"/>
  <c r="D9" i="17" s="1"/>
  <c r="D7" i="2"/>
  <c r="F7" i="2" s="1"/>
  <c r="D7" i="17" s="1"/>
  <c r="D6" i="2"/>
  <c r="F6" i="2" s="1"/>
  <c r="D5" i="17" s="1"/>
  <c r="D5" i="2"/>
  <c r="F5" i="2" s="1"/>
  <c r="D4" i="17" s="1"/>
  <c r="D4" i="2"/>
  <c r="F4" i="2" s="1"/>
  <c r="D3" i="17" s="1"/>
  <c r="R174" i="36"/>
  <c r="P174" i="36"/>
  <c r="O174" i="36"/>
  <c r="R163" i="36"/>
  <c r="Q163" i="36"/>
  <c r="P163" i="36"/>
  <c r="O163" i="36"/>
  <c r="N163" i="36"/>
  <c r="F3" i="17"/>
  <c r="F6" i="17"/>
  <c r="F7" i="17"/>
  <c r="F5" i="17"/>
  <c r="F8" i="17"/>
  <c r="D17" i="17"/>
  <c r="H17" i="17" s="1"/>
  <c r="J17" i="17" s="1"/>
  <c r="D16" i="17"/>
  <c r="H16" i="17" s="1"/>
  <c r="J16" i="17" s="1"/>
  <c r="E5" i="2"/>
  <c r="C171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1" i="17"/>
  <c r="G11" i="17"/>
  <c r="C20" i="2"/>
  <c r="I7" i="36"/>
  <c r="J7" i="36"/>
  <c r="G7" i="36"/>
  <c r="E11" i="2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6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 s="1"/>
  <c r="R30" i="36"/>
  <c r="Q30" i="36"/>
  <c r="N30" i="36"/>
  <c r="D27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8" i="2"/>
  <c r="O13" i="17"/>
  <c r="H12" i="17"/>
  <c r="J12" i="17" s="1"/>
  <c r="O12" i="17"/>
  <c r="D13" i="17"/>
  <c r="H13" i="17" s="1"/>
  <c r="J13" i="17" s="1"/>
  <c r="G13" i="17"/>
  <c r="S7" i="36"/>
  <c r="T7" i="36"/>
  <c r="B3" i="36"/>
  <c r="O156" i="36"/>
  <c r="O155" i="36"/>
  <c r="O154" i="36"/>
  <c r="O153" i="36"/>
  <c r="O89" i="36"/>
  <c r="O86" i="36"/>
  <c r="O45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74" i="36"/>
  <c r="O18" i="36"/>
  <c r="O79" i="36"/>
  <c r="O78" i="36"/>
  <c r="O43" i="36"/>
  <c r="O152" i="36"/>
  <c r="O61" i="36"/>
  <c r="O124" i="36"/>
  <c r="O52" i="36"/>
  <c r="O139" i="36"/>
  <c r="O128" i="36"/>
  <c r="O109" i="36"/>
  <c r="O101" i="36"/>
  <c r="O8" i="36"/>
  <c r="O25" i="36"/>
  <c r="O22" i="36"/>
  <c r="O88" i="36"/>
  <c r="O92" i="36"/>
  <c r="O10" i="36"/>
  <c r="O31" i="36"/>
  <c r="O69" i="36"/>
  <c r="O119" i="36"/>
  <c r="O116" i="36"/>
  <c r="O143" i="36"/>
  <c r="O54" i="36"/>
  <c r="O58" i="36"/>
  <c r="O46" i="36"/>
  <c r="O56" i="36"/>
  <c r="O95" i="36"/>
  <c r="O96" i="36"/>
  <c r="O93" i="36"/>
  <c r="O29" i="36"/>
  <c r="O114" i="36"/>
  <c r="O28" i="36"/>
  <c r="O23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O160" i="36"/>
  <c r="O159" i="36"/>
  <c r="O162" i="36"/>
  <c r="O158" i="36"/>
  <c r="O157" i="36"/>
  <c r="O161" i="36"/>
  <c r="P126" i="36"/>
  <c r="P142" i="36"/>
  <c r="P129" i="36"/>
  <c r="P162" i="36"/>
  <c r="P161" i="36"/>
  <c r="P46" i="36"/>
  <c r="P77" i="36"/>
  <c r="P157" i="36"/>
  <c r="P30" i="36"/>
  <c r="P61" i="36"/>
  <c r="P56" i="36"/>
  <c r="P122" i="36"/>
  <c r="P121" i="36"/>
  <c r="P64" i="36"/>
  <c r="P41" i="36"/>
  <c r="P92" i="36"/>
  <c r="P124" i="36"/>
  <c r="P99" i="36"/>
  <c r="P9" i="36"/>
  <c r="P79" i="36"/>
  <c r="P44" i="36"/>
  <c r="P38" i="36"/>
  <c r="P111" i="36"/>
  <c r="P23" i="36"/>
  <c r="P113" i="36"/>
  <c r="P131" i="36"/>
  <c r="P130" i="36"/>
  <c r="P149" i="36"/>
  <c r="P85" i="36"/>
  <c r="P75" i="36"/>
  <c r="P78" i="36"/>
  <c r="P69" i="36"/>
  <c r="P74" i="36"/>
  <c r="P54" i="36"/>
  <c r="P106" i="36"/>
  <c r="P114" i="36"/>
  <c r="P17" i="36"/>
  <c r="P146" i="36"/>
  <c r="P100" i="36"/>
  <c r="P87" i="36"/>
  <c r="P110" i="36"/>
  <c r="P50" i="36"/>
  <c r="P136" i="36"/>
  <c r="P152" i="36"/>
  <c r="P82" i="36"/>
  <c r="P143" i="36"/>
  <c r="P70" i="36"/>
  <c r="P137" i="36"/>
  <c r="P97" i="36"/>
  <c r="P66" i="36"/>
  <c r="P43" i="36"/>
  <c r="P22" i="36"/>
  <c r="P76" i="36"/>
  <c r="P133" i="36"/>
  <c r="P20" i="36"/>
  <c r="P132" i="36"/>
  <c r="P47" i="36"/>
  <c r="P24" i="36"/>
  <c r="P116" i="36"/>
  <c r="P36" i="36"/>
  <c r="P109" i="36"/>
  <c r="P33" i="36"/>
  <c r="P148" i="36"/>
  <c r="P83" i="36"/>
  <c r="P51" i="36"/>
  <c r="P8" i="36"/>
  <c r="P48" i="36"/>
  <c r="P128" i="36"/>
  <c r="P19" i="36"/>
  <c r="P26" i="36"/>
  <c r="P115" i="36"/>
  <c r="P52" i="36"/>
  <c r="P144" i="36"/>
  <c r="P32" i="36"/>
  <c r="P117" i="36"/>
  <c r="P94" i="36"/>
  <c r="P12" i="36"/>
  <c r="P16" i="36"/>
  <c r="P107" i="36"/>
  <c r="P88" i="36"/>
  <c r="P98" i="36"/>
  <c r="P102" i="36"/>
  <c r="P138" i="36"/>
  <c r="P65" i="36"/>
  <c r="P55" i="36"/>
  <c r="P153" i="36"/>
  <c r="P31" i="36"/>
  <c r="P108" i="36"/>
  <c r="P147" i="36"/>
  <c r="P141" i="36"/>
  <c r="P53" i="36"/>
  <c r="P104" i="36"/>
  <c r="P118" i="36"/>
  <c r="O65" i="36"/>
  <c r="O36" i="36"/>
  <c r="O15" i="36"/>
  <c r="O55" i="36"/>
  <c r="O80" i="36"/>
  <c r="O67" i="36"/>
  <c r="O49" i="36"/>
  <c r="O34" i="36"/>
  <c r="O133" i="36"/>
  <c r="H4" i="17" l="1"/>
  <c r="J4" i="17" s="1"/>
  <c r="O4" i="17"/>
  <c r="H10" i="17"/>
  <c r="J10" i="17" s="1"/>
  <c r="O10" i="17"/>
  <c r="D8" i="17"/>
  <c r="D11" i="17" s="1"/>
  <c r="K174" i="36" s="1"/>
  <c r="F14" i="2"/>
  <c r="F23" i="2" s="1"/>
  <c r="F4" i="17"/>
  <c r="F11" i="17" s="1"/>
  <c r="E14" i="2"/>
  <c r="O3" i="17"/>
  <c r="H3" i="17"/>
  <c r="J3" i="17" s="1"/>
  <c r="O5" i="17"/>
  <c r="H5" i="17"/>
  <c r="J5" i="17" s="1"/>
  <c r="O7" i="17"/>
  <c r="H7" i="17"/>
  <c r="J7" i="17" s="1"/>
  <c r="H9" i="17"/>
  <c r="J9" i="17" s="1"/>
  <c r="O9" i="17"/>
  <c r="H8" i="17"/>
  <c r="J8" i="17" s="1"/>
  <c r="O8" i="17"/>
  <c r="O6" i="17"/>
  <c r="H6" i="17"/>
  <c r="G19" i="17"/>
  <c r="P119" i="36"/>
  <c r="P140" i="36"/>
  <c r="P127" i="36"/>
  <c r="P18" i="36"/>
  <c r="P67" i="36"/>
  <c r="P49" i="36"/>
  <c r="P139" i="36"/>
  <c r="P150" i="36"/>
  <c r="P151" i="36"/>
  <c r="P155" i="36"/>
  <c r="P86" i="36"/>
  <c r="P95" i="36"/>
  <c r="P72" i="36"/>
  <c r="P120" i="36"/>
  <c r="P101" i="36"/>
  <c r="P90" i="36"/>
  <c r="P13" i="36"/>
  <c r="P35" i="36"/>
  <c r="P125" i="36"/>
  <c r="P59" i="36"/>
  <c r="P63" i="36"/>
  <c r="P91" i="36"/>
  <c r="P11" i="36"/>
  <c r="P89" i="36"/>
  <c r="P42" i="36"/>
  <c r="P71" i="36"/>
  <c r="P103" i="36"/>
  <c r="P81" i="36"/>
  <c r="P15" i="36"/>
  <c r="P84" i="36"/>
  <c r="P40" i="36"/>
  <c r="P27" i="36"/>
  <c r="P39" i="36"/>
  <c r="P57" i="36"/>
  <c r="P21" i="36"/>
  <c r="P68" i="36"/>
  <c r="P28" i="36"/>
  <c r="P73" i="36"/>
  <c r="P105" i="36"/>
  <c r="P60" i="36"/>
  <c r="P37" i="36"/>
  <c r="P156" i="36"/>
  <c r="P158" i="36"/>
  <c r="P34" i="36"/>
  <c r="P123" i="36"/>
  <c r="P96" i="36"/>
  <c r="P80" i="36"/>
  <c r="P58" i="36"/>
  <c r="P29" i="36"/>
  <c r="P159" i="36"/>
  <c r="P160" i="36"/>
  <c r="P45" i="36"/>
  <c r="P112" i="36"/>
  <c r="P62" i="36"/>
  <c r="P25" i="36"/>
  <c r="P10" i="36"/>
  <c r="P154" i="36"/>
  <c r="P93" i="36"/>
  <c r="P145" i="36"/>
  <c r="P14" i="36"/>
  <c r="N128" i="36"/>
  <c r="S171" i="36"/>
  <c r="D15" i="17"/>
  <c r="O11" i="17" l="1"/>
  <c r="H11" i="17"/>
  <c r="J11" i="17" s="1"/>
  <c r="J6" i="17"/>
  <c r="D18" i="17"/>
  <c r="H15" i="17"/>
  <c r="J15" i="17" s="1"/>
  <c r="D19" i="17"/>
  <c r="E15" i="17" s="1"/>
  <c r="F20" i="2"/>
  <c r="H27" i="2"/>
  <c r="E12" i="17" l="1"/>
  <c r="E3" i="17"/>
  <c r="D21" i="17"/>
  <c r="D22" i="17" s="1"/>
  <c r="E2" i="36"/>
  <c r="H19" i="17"/>
  <c r="J19" i="17" s="1"/>
  <c r="B2" i="36"/>
  <c r="E11" i="17"/>
  <c r="E8" i="17"/>
  <c r="E17" i="17"/>
  <c r="E9" i="17"/>
  <c r="E16" i="17"/>
  <c r="E7" i="17"/>
  <c r="E19" i="17"/>
  <c r="E6" i="17"/>
  <c r="B174" i="36"/>
  <c r="E174" i="36" s="1"/>
  <c r="E4" i="17"/>
  <c r="E5" i="17"/>
  <c r="E10" i="17"/>
  <c r="H43" i="2"/>
  <c r="H30" i="2"/>
  <c r="H37" i="2"/>
  <c r="H35" i="2"/>
  <c r="H38" i="2"/>
  <c r="H28" i="2"/>
  <c r="H32" i="2"/>
  <c r="H34" i="2"/>
  <c r="H39" i="2"/>
  <c r="H29" i="2"/>
  <c r="H36" i="2"/>
  <c r="H41" i="2"/>
  <c r="H31" i="2"/>
  <c r="H40" i="2"/>
  <c r="H42" i="2"/>
  <c r="H33" i="2"/>
  <c r="T174" i="36" l="1"/>
  <c r="C174" i="36"/>
  <c r="N174" i="36" s="1"/>
  <c r="S174" i="36" l="1"/>
  <c r="D14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<sst xmlns="http://schemas.openxmlformats.org/spreadsheetml/2006/main" count="118" uniqueCount="105">
  <si>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</si>
  <si>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</si>
  <si>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</si>
  <si>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</si>
  <si>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</si>
  <si>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</si>
  <si>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</si>
  <si>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</si>
  <si>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</si>
  <si>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</si>
  <si>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</si>
  <si>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</si>
  <si>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</si>
  <si>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</si>
  <si>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</si>
  <si>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</si>
  <si>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</si>
  <si>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</si>
  <si>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</si>
  <si>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</si>
  <si>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</si>
  <si>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</si>
  <si>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</si>
  <si>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</si>
  <si>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</si>
  <si>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</si>
  <si>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</si>
  <si>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</si>
  <si>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</si>
  <si>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</si>
  <si>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</si>
  <si>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</si>
  <si>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</si>
  <si>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</si>
  <si>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</si>
  <si>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</si>
  <si>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</si>
  <si>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</si>
  <si>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</si>
  <si>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</si>
  <si>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</si>
  <si>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</si>
  <si>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</si>
  <si>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</si>
  <si>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</si>
  <si>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</si>
  <si>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</si>
  <si>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</si>
  <si>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</si>
  <si>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</si>
  <si>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</si>
  <si>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</si>
  <si>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</si>
  <si>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</si>
  <si>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</si>
  <si>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</si>
  <si>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</si>
  <si>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</si>
  <si>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</si>
  <si>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</si>
  <si>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</si>
  <si>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</si>
  <si>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</si>
  <si>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</si>
  <si>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</si>
  <si>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</si>
  <si>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</si>
  <si>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</si>
  <si>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</si>
  <si>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</si>
  <si>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</si>
  <si>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</si>
  <si>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</si>
  <si>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</si>
  <si>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</si>
  <si>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</si>
  <si>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</si>
  <si>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</si>
  <si>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</si>
  <si>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</si>
  <si>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</si>
  <si>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</si>
  <si>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</si>
  <si>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</si>
  <si>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</si>
  <si>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</si>
  <si>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</si>
  <si>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凱基金</t>
  </si>
  <si>
    <t>台新新光金</t>
  </si>
  <si>
    <t>凱基金(2883)</t>
  </si>
  <si>
    <t>台新新光金(2887)</t>
  </si>
  <si>
    <t>金融</t>
  </si>
  <si>
    <t>緯穎</t>
  </si>
  <si>
    <t>緯穎(6669)</t>
  </si>
  <si>
    <t>富邦金</t>
    <phoneticPr fontId="1" type="noConversion"/>
  </si>
  <si>
    <t>金融</t>
    <phoneticPr fontId="1" type="noConversion"/>
  </si>
  <si>
    <t>富邦金(2881)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</si>
  <si>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</si>
  <si>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</si>
  <si>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</si>
  <si>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聯發科</t>
    <phoneticPr fontId="1" type="noConversion"/>
  </si>
  <si>
    <t>聯發科(2454)</t>
    <phoneticPr fontId="1" type="noConversion"/>
  </si>
  <si>
    <t>半導體</t>
    <phoneticPr fontId="1" type="noConversion"/>
  </si>
  <si>
    <t>仲恩生醫</t>
  </si>
  <si>
    <t>仲恩生醫(7729)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</si>
</sst>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總表!$A$7:$A$178</c:f>
              <c:numCache>
                <c:formatCode>m/d/yyyy</c:formatCode>
                <c:ptCount val="17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</c:numCache>
            </c:numRef>
          </c:cat>
          <c:val>
            <c:numRef>
              <c:f>總表!$N$7:$N$178</c:f>
              <c:numCache>
                <c:formatCode>0.0%</c:formatCode>
                <c:ptCount val="172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1.0456893453103584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總表!$A$7:$A$178</c:f>
              <c:numCache>
                <c:formatCode>m/d/yyyy</c:formatCode>
                <c:ptCount val="17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</c:numCache>
            </c:numRef>
          </c:cat>
          <c:val>
            <c:numRef>
              <c:f>總表!$Q$7:$Q$178</c:f>
              <c:numCache>
                <c:formatCode>0.0%</c:formatCode>
                <c:ptCount val="172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0.64466575749271904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總表!$A$7:$A$178</c:f>
              <c:numCache>
                <c:formatCode>m/d/yyyy</c:formatCode>
                <c:ptCount val="172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</c:numCache>
            </c:numRef>
          </c:cat>
          <c:val>
            <c:numRef>
              <c:f>總表!$R$7:$R$178</c:f>
              <c:numCache>
                <c:formatCode>0.0%</c:formatCode>
                <c:ptCount val="172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0.49034996928929475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174</xdr:row>
      <xdr:rowOff>185464</xdr:rowOff>
    </xdr:from>
    <xdr:to>
      <xdr:col>20</xdr:col>
      <xdr:colOff>39252</xdr:colOff>
      <xdr:row>195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3258;&#24049;/202609/&#32929;&#31080;&#32317;&#37096;&#20301;&#24115;20260910.xlsx" TargetMode="External"/><Relationship Id="rId2" Type="http://schemas.openxmlformats.org/officeDocument/2006/relationships/externalLinkPath" Target="file:///C:\Users\PPP\Desktop\&#35352;&#24115;&#26032;\&#33258;&#24049;\202609\&#32929;&#31080;&#32317;&#37096;&#20301;&#24115;20260910.xlsx" TargetMode="External"/><Relationship Id="rId1" Type="http://schemas.openxmlformats.org/officeDocument/2006/relationships/externalLinkPath" Target="/Users/PPP/Desktop/&#35352;&#24115;&#26032;/&#33258;&#24049;/202609/&#32929;&#31080;&#32317;&#37096;&#20301;&#24115;202609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>
        <row r="174">
          <cell r="L174">
            <v>108393.30851999999</v>
          </cell>
          <cell r="M174">
            <v>752.19453299999998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37.200000000000003</v>
          </cell>
        </row>
        <row r="5">
          <cell r="B5" t="str">
            <v>緯穎</v>
          </cell>
          <cell r="C5">
            <v>0</v>
          </cell>
          <cell r="D5">
            <v>2350</v>
          </cell>
        </row>
        <row r="6">
          <cell r="B6" t="str">
            <v>富邦金</v>
          </cell>
          <cell r="C6">
            <v>0</v>
          </cell>
          <cell r="D6">
            <v>149</v>
          </cell>
        </row>
        <row r="7">
          <cell r="B7" t="str">
            <v>聯發科</v>
          </cell>
          <cell r="C7">
            <v>0</v>
          </cell>
          <cell r="D7">
            <v>4720</v>
          </cell>
        </row>
        <row r="8">
          <cell r="B8" t="str">
            <v>中華立鼎</v>
          </cell>
          <cell r="C8">
            <v>6000</v>
          </cell>
          <cell r="D8">
            <v>596</v>
          </cell>
        </row>
        <row r="9">
          <cell r="B9" t="str">
            <v>台新新光金</v>
          </cell>
          <cell r="C9">
            <v>0</v>
          </cell>
          <cell r="D9">
            <v>42.15</v>
          </cell>
        </row>
        <row r="10">
          <cell r="B10" t="str">
            <v>仲恩生醫</v>
          </cell>
          <cell r="C10">
            <v>0</v>
          </cell>
          <cell r="D10">
            <v>126.5</v>
          </cell>
        </row>
        <row r="11">
          <cell r="B11" t="str">
            <v>仁新</v>
          </cell>
          <cell r="C11">
            <v>38000</v>
          </cell>
          <cell r="D11">
            <v>167.5</v>
          </cell>
        </row>
        <row r="12">
          <cell r="B12" t="str">
            <v>BLTE</v>
          </cell>
          <cell r="C12">
            <v>0</v>
          </cell>
          <cell r="D12">
            <v>183.16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05"/>
  <sheetViews>
    <sheetView tabSelected="1" topLeftCell="A2" zoomScale="70" zoomScaleNormal="70" workbookViewId="0">
      <pane xSplit="1" ySplit="5" topLeftCell="B151" activePane="bottomRight" state="frozen"/>
      <selection activeCell="A2" sqref="A2"/>
      <selection pane="topRight" activeCell="B5" sqref="B5"/>
      <selection pane="bottomLeft" activeCell="B5" sqref="B5"/>
      <selection pane="bottomRight" activeCell="M166" sqref="M166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按股票分類!D19</f>
        <v>25326391</v>
      </c>
      <c r="C2" s="35"/>
      <c r="D2" s="35"/>
      <c r="E2" s="36">
        <f>按股票分類!D11/按股票分類!D19</f>
        <v>1.5171305694522366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46275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:N174" si="304">C163/C$7-1</f>
        <v>0.91120176537534836</v>
      </c>
      <c r="O163" s="61" t="e">
        <f t="shared" ref="O163:O174" si="305">G163/G$7-1</f>
        <v>#REF!</v>
      </c>
      <c r="P163" s="61" t="e">
        <f t="shared" ref="P163:P174" si="306">J163/J$7-1</f>
        <v>#REF!</v>
      </c>
      <c r="Q163" s="61">
        <f t="shared" ref="Q163:Q174" si="307">L163/L$7-1</f>
        <v>0.60519697909051673</v>
      </c>
      <c r="R163" s="61">
        <f t="shared" ref="R163:R174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73" si="309">C164/C$7-1</f>
        <v>0.89756178531013231</v>
      </c>
      <c r="O164" s="61" t="e">
        <f t="shared" ref="O164:O173" si="310">G164/G$7-1</f>
        <v>#REF!</v>
      </c>
      <c r="P164" s="61" t="e">
        <f t="shared" ref="P164:P173" si="311">J164/J$7-1</f>
        <v>#REF!</v>
      </c>
      <c r="Q164" s="61">
        <f t="shared" ref="Q164:Q173" si="312">L164/L$7-1</f>
        <v>0.61017308972569739</v>
      </c>
      <c r="R164" s="61">
        <f t="shared" ref="R164:R173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si="309"/>
        <v>0.93081870735688854</v>
      </c>
      <c r="O169" s="61" t="e">
        <f t="shared" si="310"/>
        <v>#REF!</v>
      </c>
      <c r="P169" s="61" t="e">
        <f t="shared" si="311"/>
        <v>#REF!</v>
      </c>
      <c r="Q169" s="61">
        <f t="shared" si="312"/>
        <v>0.60660550074515251</v>
      </c>
      <c r="R169" s="61">
        <f t="shared" si="313"/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09"/>
        <v>1.0138596019343522</v>
      </c>
      <c r="O170" s="61" t="e">
        <f t="shared" si="310"/>
        <v>#REF!</v>
      </c>
      <c r="P170" s="61" t="e">
        <f t="shared" si="311"/>
        <v>#REF!</v>
      </c>
      <c r="Q170" s="61">
        <f t="shared" si="312"/>
        <v>0.6309007164448508</v>
      </c>
      <c r="R170" s="61">
        <f t="shared" si="313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09"/>
        <v>1.1068060162983819</v>
      </c>
      <c r="O171" s="61" t="e">
        <f t="shared" si="310"/>
        <v>#REF!</v>
      </c>
      <c r="P171" s="61" t="e">
        <f t="shared" si="311"/>
        <v>#REF!</v>
      </c>
      <c r="Q171" s="61">
        <f t="shared" si="312"/>
        <v>0.6580578879185166</v>
      </c>
      <c r="R171" s="61">
        <f t="shared" si="313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si="309"/>
        <v>1.1147346969436294</v>
      </c>
      <c r="O172" s="61" t="e">
        <f t="shared" si="310"/>
        <v>#REF!</v>
      </c>
      <c r="P172" s="61" t="e">
        <f t="shared" si="311"/>
        <v>#REF!</v>
      </c>
      <c r="Q172" s="61">
        <f t="shared" si="312"/>
        <v>0.65049666206313916</v>
      </c>
      <c r="R172" s="61">
        <f t="shared" si="313"/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09"/>
        <v>1.0412225967398387</v>
      </c>
      <c r="O173" s="61" t="e">
        <f t="shared" si="310"/>
        <v>#REF!</v>
      </c>
      <c r="P173" s="61" t="e">
        <f t="shared" si="311"/>
        <v>#REF!</v>
      </c>
      <c r="Q173" s="61">
        <f t="shared" si="312"/>
        <v>0.65326272365572891</v>
      </c>
      <c r="R173" s="61">
        <f t="shared" si="31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7.100000000000001" customHeight="1" x14ac:dyDescent="0.25">
      <c r="A174" s="55">
        <v>46275</v>
      </c>
      <c r="B174" s="56">
        <f>按股票分類!D19</f>
        <v>25326391</v>
      </c>
      <c r="C174" s="79">
        <f>B174/D174</f>
        <v>20.456893453103582</v>
      </c>
      <c r="D174" s="58">
        <v>1238037</v>
      </c>
      <c r="E174" s="58">
        <f>B174-B173</f>
        <v>55300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f>按股票分類!D11</f>
        <v>38423442</v>
      </c>
      <c r="L174" s="60">
        <f>[1]總表!$L$174</f>
        <v>108393.30851999999</v>
      </c>
      <c r="M174" s="60">
        <f>[1]總表!$M$174</f>
        <v>752.19453299999998</v>
      </c>
      <c r="N174" s="61">
        <f t="shared" si="304"/>
        <v>1.0456893453103584</v>
      </c>
      <c r="O174" s="61" t="e">
        <f t="shared" si="305"/>
        <v>#REF!</v>
      </c>
      <c r="P174" s="61" t="e">
        <f t="shared" si="306"/>
        <v>#REF!</v>
      </c>
      <c r="Q174" s="61">
        <f t="shared" si="307"/>
        <v>0.64466575749271904</v>
      </c>
      <c r="R174" s="61">
        <f t="shared" si="308"/>
        <v>0.49034996928929475</v>
      </c>
      <c r="S174" s="83">
        <f>C174/MAX($C$7:C174)-1</f>
        <v>-0.14023580992586271</v>
      </c>
      <c r="T174" s="62">
        <f>K174/B174</f>
        <v>1.5171305694522366</v>
      </c>
      <c r="U174" s="62">
        <v>0</v>
      </c>
    </row>
    <row r="175" spans="1:21" ht="16.5" x14ac:dyDescent="0.25">
      <c r="A175" s="55"/>
      <c r="B175" s="56"/>
      <c r="C175" s="61"/>
      <c r="D175" s="56"/>
      <c r="F175" s="58"/>
      <c r="G175" s="58"/>
      <c r="H175" s="58"/>
      <c r="I175" s="59"/>
      <c r="J175" s="59"/>
      <c r="K175" s="59"/>
      <c r="L175" s="60"/>
      <c r="M175" s="84"/>
      <c r="N175" s="61"/>
      <c r="O175" s="61"/>
      <c r="P175" s="61"/>
      <c r="Q175" s="61"/>
      <c r="R175" s="61"/>
      <c r="S175" s="61"/>
      <c r="T175" s="62"/>
      <c r="U175" s="62"/>
    </row>
    <row r="176" spans="1:21" ht="16.5" x14ac:dyDescent="0.25">
      <c r="A176" s="55"/>
      <c r="B176" s="56"/>
      <c r="C176" s="56"/>
      <c r="D176" s="56"/>
      <c r="E176" s="57"/>
      <c r="F176" s="58"/>
      <c r="G176" s="58"/>
      <c r="H176" s="58"/>
      <c r="I176" s="59"/>
      <c r="J176" s="59"/>
      <c r="K176" s="59"/>
      <c r="L176" s="60"/>
      <c r="M176" s="60"/>
      <c r="N176" s="61"/>
      <c r="O176" s="61"/>
      <c r="P176" s="61"/>
      <c r="Q176" s="61"/>
      <c r="R176" s="61"/>
      <c r="S176" s="61"/>
      <c r="T176" s="62"/>
      <c r="U176" s="62"/>
    </row>
    <row r="177" spans="1:23" ht="16.5" x14ac:dyDescent="0.25">
      <c r="A177" s="55"/>
      <c r="B177" s="56"/>
      <c r="C177" s="56"/>
      <c r="D177" s="56"/>
      <c r="E177" s="57"/>
      <c r="F177" s="58"/>
      <c r="G177" s="58"/>
      <c r="H177" s="58"/>
      <c r="I177" s="59"/>
      <c r="J177" s="59"/>
      <c r="K177" s="59"/>
      <c r="L177" s="60"/>
      <c r="M177" s="60"/>
      <c r="N177" s="61"/>
      <c r="O177" s="61"/>
      <c r="P177" s="61"/>
      <c r="Q177" s="61"/>
      <c r="R177" s="61"/>
      <c r="S177" s="61"/>
      <c r="T177" s="62"/>
      <c r="U177" s="62"/>
    </row>
    <row r="178" spans="1:23" ht="16.5" x14ac:dyDescent="0.25">
      <c r="A178" s="55"/>
      <c r="B178" s="56"/>
      <c r="C178" s="56"/>
      <c r="D178" s="56"/>
      <c r="E178" s="57"/>
      <c r="F178" s="58"/>
      <c r="G178" s="58"/>
      <c r="H178" s="58"/>
      <c r="I178" s="59"/>
      <c r="J178" s="59"/>
      <c r="K178" s="59"/>
      <c r="L178" s="60"/>
      <c r="M178" s="60"/>
      <c r="N178" s="61"/>
      <c r="O178" s="61"/>
      <c r="P178" s="61"/>
      <c r="Q178" s="61"/>
      <c r="R178" s="61"/>
      <c r="S178" s="61"/>
      <c r="T178" s="62"/>
      <c r="U178" s="62"/>
    </row>
    <row r="179" spans="1:23" ht="16.5" x14ac:dyDescent="0.25">
      <c r="A179" s="55"/>
      <c r="B179" s="56"/>
      <c r="C179" s="56"/>
      <c r="D179" s="56"/>
      <c r="E179" s="57"/>
      <c r="F179" s="58"/>
      <c r="G179" s="58"/>
      <c r="H179" s="58"/>
      <c r="I179" s="59"/>
      <c r="J179" s="59"/>
      <c r="K179" s="59"/>
      <c r="L179" s="60"/>
      <c r="M179" s="60"/>
      <c r="N179" s="61"/>
      <c r="O179" s="61"/>
      <c r="P179" s="61"/>
      <c r="Q179" s="61"/>
      <c r="R179" s="61"/>
      <c r="S179" s="61"/>
      <c r="T179" s="62"/>
      <c r="U179" s="62"/>
    </row>
    <row r="180" spans="1:23" ht="16.5" x14ac:dyDescent="0.25">
      <c r="A180" s="55"/>
      <c r="B180" s="56"/>
      <c r="C180" s="56"/>
      <c r="D180" s="56"/>
      <c r="E180" s="57"/>
      <c r="F180" s="58"/>
      <c r="G180" s="58"/>
      <c r="H180" s="58"/>
      <c r="I180" s="59"/>
      <c r="J180" s="59"/>
      <c r="K180" s="59"/>
      <c r="L180" s="60"/>
      <c r="M180" s="60"/>
      <c r="N180" s="61"/>
      <c r="O180" s="61"/>
      <c r="P180" s="61"/>
      <c r="Q180" s="61"/>
      <c r="R180" s="61"/>
      <c r="S180" s="61"/>
      <c r="T180" s="62"/>
      <c r="U180" s="62"/>
    </row>
    <row r="181" spans="1:23" ht="16.5" x14ac:dyDescent="0.25">
      <c r="A181" s="55"/>
      <c r="B181" s="56"/>
      <c r="C181" s="56"/>
      <c r="D181" s="56"/>
      <c r="E181" s="57"/>
      <c r="F181" s="58"/>
      <c r="G181" s="58"/>
      <c r="H181" s="58"/>
      <c r="I181" s="59"/>
      <c r="J181" s="59"/>
      <c r="K181" s="59"/>
      <c r="L181" s="60"/>
      <c r="M181" s="60"/>
      <c r="N181" s="61"/>
      <c r="O181" s="61"/>
      <c r="P181" s="61"/>
      <c r="Q181" s="58"/>
      <c r="R181" s="61"/>
      <c r="S181" s="61"/>
      <c r="T181" s="62"/>
      <c r="U181" s="62"/>
    </row>
    <row r="182" spans="1:23" ht="16.5" x14ac:dyDescent="0.25">
      <c r="A182" s="55"/>
      <c r="B182" s="56"/>
      <c r="C182" s="56"/>
      <c r="D182" s="56"/>
      <c r="E182" s="57"/>
      <c r="F182" s="58"/>
      <c r="G182" s="58"/>
      <c r="H182" s="58"/>
      <c r="I182" s="59"/>
      <c r="J182" s="59"/>
      <c r="K182" s="59"/>
      <c r="L182" s="60"/>
      <c r="M182" s="60"/>
      <c r="N182" s="61"/>
      <c r="O182" s="61"/>
      <c r="P182" s="61"/>
      <c r="Q182" s="58"/>
      <c r="R182" s="82"/>
      <c r="S182" s="61"/>
      <c r="T182" s="62"/>
      <c r="U182" s="62"/>
    </row>
    <row r="183" spans="1:23" ht="16.5" x14ac:dyDescent="0.25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58"/>
      <c r="R183" s="61"/>
      <c r="S183" s="61"/>
      <c r="T183" s="62"/>
      <c r="U183" s="62"/>
    </row>
    <row r="184" spans="1:23" ht="16.5" x14ac:dyDescent="0.25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58"/>
      <c r="R184" s="61" t="s">
        <v>21</v>
      </c>
      <c r="S184" s="61"/>
      <c r="T184" s="62"/>
      <c r="U184" s="62"/>
    </row>
    <row r="185" spans="1:23" ht="16.5" x14ac:dyDescent="0.25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61"/>
      <c r="R185" s="61"/>
      <c r="S185" s="61"/>
      <c r="T185" s="62"/>
      <c r="U185" s="62"/>
    </row>
    <row r="186" spans="1:23" ht="16.5" x14ac:dyDescent="0.25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58"/>
      <c r="R186" s="61"/>
      <c r="S186" s="61"/>
      <c r="T186" s="62"/>
      <c r="U186" s="62"/>
    </row>
    <row r="187" spans="1:23" ht="16.5" x14ac:dyDescent="0.2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58"/>
      <c r="R187" s="61"/>
      <c r="S187" s="61"/>
      <c r="T187" s="62"/>
      <c r="U187" s="62"/>
    </row>
    <row r="188" spans="1:23" ht="16.5" x14ac:dyDescent="0.2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61"/>
      <c r="R188" s="61"/>
      <c r="S188" s="61"/>
      <c r="T188" s="62"/>
      <c r="U188" s="62"/>
    </row>
    <row r="189" spans="1:23" ht="16.5" x14ac:dyDescent="0.2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61"/>
      <c r="R189" s="61"/>
      <c r="S189" s="61"/>
      <c r="T189" s="62"/>
      <c r="U189" s="62"/>
      <c r="W189" s="103"/>
    </row>
    <row r="190" spans="1:23" ht="16.5" x14ac:dyDescent="0.2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</row>
    <row r="191" spans="1:23" ht="16.5" x14ac:dyDescent="0.2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3" ht="16.5" x14ac:dyDescent="0.2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1" ht="16.5" x14ac:dyDescent="0.2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1" ht="16.5" x14ac:dyDescent="0.2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1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1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1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1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1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1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59"/>
      <c r="O203" s="61"/>
      <c r="P203" s="61"/>
      <c r="Q203" s="61"/>
      <c r="R203" s="61"/>
      <c r="S203" s="61"/>
      <c r="T203" s="62"/>
      <c r="U203" s="62"/>
    </row>
    <row r="204" spans="1:21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61"/>
      <c r="R204" s="61"/>
      <c r="S204" s="61"/>
      <c r="T204" s="62"/>
      <c r="U204" s="62"/>
    </row>
    <row r="205" spans="1:21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1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1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1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63"/>
      <c r="J272" s="63"/>
      <c r="K272" s="63"/>
      <c r="L272" s="60"/>
      <c r="M272" s="60"/>
      <c r="N272" s="64"/>
      <c r="O272" s="64"/>
      <c r="P272" s="64"/>
      <c r="Q272" s="64"/>
      <c r="R272" s="64"/>
      <c r="S272" s="64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63"/>
      <c r="J273" s="63"/>
      <c r="K273" s="63"/>
      <c r="L273" s="60"/>
      <c r="M273" s="60"/>
      <c r="N273" s="64"/>
      <c r="O273" s="64"/>
      <c r="P273" s="64"/>
      <c r="Q273" s="64"/>
      <c r="R273" s="64"/>
      <c r="S273" s="64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63"/>
      <c r="J274" s="63"/>
      <c r="K274" s="63"/>
      <c r="L274" s="60"/>
      <c r="M274" s="60"/>
      <c r="N274" s="64"/>
      <c r="O274" s="64"/>
      <c r="P274" s="64"/>
      <c r="Q274" s="64"/>
      <c r="R274" s="64"/>
      <c r="S274" s="64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63"/>
      <c r="J275" s="63"/>
      <c r="K275" s="63"/>
      <c r="L275" s="60"/>
      <c r="M275" s="60"/>
      <c r="N275" s="64"/>
      <c r="O275" s="64"/>
      <c r="P275" s="64"/>
      <c r="Q275" s="64"/>
      <c r="R275" s="64"/>
      <c r="S275" s="64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63"/>
      <c r="J276" s="63"/>
      <c r="K276" s="63"/>
      <c r="L276" s="60"/>
      <c r="M276" s="60"/>
      <c r="N276" s="64"/>
      <c r="O276" s="64"/>
      <c r="P276" s="64"/>
      <c r="Q276" s="64"/>
      <c r="R276" s="64"/>
      <c r="S276" s="64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63"/>
      <c r="J277" s="63"/>
      <c r="K277" s="63"/>
      <c r="L277" s="60"/>
      <c r="M277" s="60"/>
      <c r="N277" s="64"/>
      <c r="O277" s="64"/>
      <c r="P277" s="64"/>
      <c r="Q277" s="64"/>
      <c r="R277" s="64"/>
      <c r="S277" s="64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63"/>
      <c r="J278" s="63"/>
      <c r="K278" s="63"/>
      <c r="L278" s="60"/>
      <c r="M278" s="60"/>
      <c r="N278" s="64"/>
      <c r="O278" s="64"/>
      <c r="P278" s="64"/>
      <c r="Q278" s="64"/>
      <c r="R278" s="64"/>
      <c r="S278" s="64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59"/>
      <c r="J300" s="59"/>
      <c r="K300" s="59"/>
      <c r="L300" s="60"/>
      <c r="M300" s="60"/>
      <c r="N300" s="61"/>
      <c r="O300" s="61"/>
      <c r="P300" s="61"/>
      <c r="Q300" s="61"/>
      <c r="R300" s="61"/>
      <c r="S300" s="61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59"/>
      <c r="J301" s="59"/>
      <c r="K301" s="59"/>
      <c r="L301" s="60"/>
      <c r="M301" s="60"/>
      <c r="N301" s="61"/>
      <c r="O301" s="61"/>
      <c r="P301" s="61"/>
      <c r="Q301" s="61"/>
      <c r="R301" s="61"/>
      <c r="S301" s="61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59"/>
      <c r="J302" s="59"/>
      <c r="K302" s="59"/>
      <c r="L302" s="60"/>
      <c r="M302" s="60"/>
      <c r="N302" s="61"/>
      <c r="O302" s="61"/>
      <c r="P302" s="61"/>
      <c r="Q302" s="61"/>
      <c r="R302" s="61"/>
      <c r="S302" s="61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59"/>
      <c r="J303" s="59"/>
      <c r="K303" s="59"/>
      <c r="L303" s="60"/>
      <c r="M303" s="60"/>
      <c r="N303" s="61"/>
      <c r="O303" s="61"/>
      <c r="P303" s="61"/>
      <c r="Q303" s="61"/>
      <c r="R303" s="61"/>
      <c r="S303" s="61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59"/>
      <c r="J304" s="59"/>
      <c r="K304" s="59"/>
      <c r="L304" s="60"/>
      <c r="M304" s="60"/>
      <c r="N304" s="61"/>
      <c r="O304" s="61"/>
      <c r="P304" s="61"/>
      <c r="Q304" s="61"/>
      <c r="R304" s="61"/>
      <c r="S304" s="61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59"/>
      <c r="J305" s="59"/>
      <c r="K305" s="59"/>
      <c r="L305" s="60"/>
      <c r="M305" s="60"/>
      <c r="N305" s="61"/>
      <c r="O305" s="61"/>
      <c r="P305" s="61"/>
      <c r="Q305" s="61"/>
      <c r="R305" s="61"/>
      <c r="S305" s="61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59"/>
      <c r="J306" s="59"/>
      <c r="K306" s="59"/>
      <c r="L306" s="60"/>
      <c r="M306" s="60"/>
      <c r="N306" s="61"/>
      <c r="O306" s="61"/>
      <c r="P306" s="61"/>
      <c r="Q306" s="61"/>
      <c r="R306" s="61"/>
      <c r="S306" s="61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</sheetData>
  <sheetProtection selectLockedCells="1"/>
  <phoneticPr fontId="1" type="noConversion"/>
  <conditionalFormatting sqref="S2:S5 S7:S174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05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74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74"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</conditionalFormatting>
  <conditionalFormatting sqref="T175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75:T405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74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75:U405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T7:T174</xm:sqref>
        </x14:conditionalFormatting>
        <x14:conditionalFormatting xmlns:xm="http://schemas.microsoft.com/office/excel/2006/main"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T8:T174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T175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T175:T405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U8:U174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U175:U405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zoomScaleNormal="100" workbookViewId="0">
      <selection activeCell="E25" sqref="E25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2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86</v>
      </c>
      <c r="D3" s="125">
        <f>帳戶!F4</f>
        <v>9229250</v>
      </c>
      <c r="E3" s="69">
        <f t="shared" ref="E3:E12" si="0">D3/$D$19</f>
        <v>0.36441236337226257</v>
      </c>
      <c r="F3" s="125">
        <f>帳戶!E4</f>
        <v>0</v>
      </c>
      <c r="G3" s="125">
        <v>8136000</v>
      </c>
      <c r="H3" s="94">
        <f t="shared" ref="H3:H4" si="1">D3-G3</f>
        <v>1093250</v>
      </c>
      <c r="I3" s="92">
        <v>0</v>
      </c>
      <c r="J3" s="21">
        <f t="shared" ref="J3:J4" si="2">IFERROR(H3/G3,"n/a")</f>
        <v>0.13437192723697147</v>
      </c>
      <c r="K3" s="29" t="s">
        <v>84</v>
      </c>
      <c r="L3" s="130"/>
      <c r="M3" s="130"/>
      <c r="N3" s="131"/>
      <c r="O3" s="98">
        <f t="shared" ref="O3" si="3">D3*0.1</f>
        <v>922925</v>
      </c>
    </row>
    <row r="4" spans="3:15" x14ac:dyDescent="0.25">
      <c r="C4" s="124" t="s">
        <v>89</v>
      </c>
      <c r="D4" s="125">
        <f>帳戶!F5</f>
        <v>8407200</v>
      </c>
      <c r="E4" s="69">
        <f t="shared" si="0"/>
        <v>0.33195412642883071</v>
      </c>
      <c r="F4" s="125">
        <f>帳戶!E5</f>
        <v>4475000</v>
      </c>
      <c r="G4" s="125">
        <v>8316799.9999999991</v>
      </c>
      <c r="H4" s="94">
        <f t="shared" si="1"/>
        <v>90400.000000000931</v>
      </c>
      <c r="I4" s="92">
        <v>4475000</v>
      </c>
      <c r="J4" s="21">
        <f t="shared" si="2"/>
        <v>1.0869565217391417E-2</v>
      </c>
      <c r="K4" s="29" t="s">
        <v>91</v>
      </c>
      <c r="L4" s="130"/>
      <c r="M4" s="130"/>
      <c r="N4" s="131"/>
      <c r="O4" s="98">
        <f t="shared" ref="O4" si="4">D4*0.1</f>
        <v>840720</v>
      </c>
    </row>
    <row r="5" spans="3:15" x14ac:dyDescent="0.25">
      <c r="C5" s="124" t="s">
        <v>101</v>
      </c>
      <c r="D5" s="125">
        <f>帳戶!F6</f>
        <v>5697040</v>
      </c>
      <c r="E5" s="69">
        <f t="shared" si="0"/>
        <v>0.22494480164978894</v>
      </c>
      <c r="F5" s="125">
        <f>帳戶!E6</f>
        <v>2907000</v>
      </c>
      <c r="G5" s="125">
        <v>4796680</v>
      </c>
      <c r="H5" s="94">
        <f>D5-G5</f>
        <v>900360</v>
      </c>
      <c r="I5" s="92">
        <v>2907000</v>
      </c>
      <c r="J5" s="21">
        <f>IFERROR(H5/G5,"n/a")</f>
        <v>0.18770482917351167</v>
      </c>
      <c r="K5" s="29" t="s">
        <v>102</v>
      </c>
      <c r="L5" s="130"/>
      <c r="M5" s="130"/>
      <c r="N5" s="131"/>
      <c r="O5" s="98">
        <f>D5*0.1</f>
        <v>569704</v>
      </c>
    </row>
    <row r="6" spans="3:15" x14ac:dyDescent="0.25">
      <c r="C6" s="124" t="s">
        <v>90</v>
      </c>
      <c r="D6" s="125">
        <f>帳戶!F11</f>
        <v>5479500</v>
      </c>
      <c r="E6" s="69">
        <f t="shared" si="0"/>
        <v>0.21635534253577621</v>
      </c>
      <c r="F6" s="125">
        <f>帳戶!E11</f>
        <v>2897000</v>
      </c>
      <c r="G6" s="125">
        <v>5512000</v>
      </c>
      <c r="H6" s="94">
        <f>D6-G6</f>
        <v>-32500</v>
      </c>
      <c r="I6" s="92">
        <v>2897000</v>
      </c>
      <c r="J6" s="21">
        <f>IFERROR(H6/G6,"n/a")</f>
        <v>-5.89622641509434E-3</v>
      </c>
      <c r="K6" s="29" t="s">
        <v>91</v>
      </c>
      <c r="L6" s="130"/>
      <c r="M6" s="130"/>
      <c r="N6" s="131"/>
      <c r="O6" s="98">
        <f>D6*0.1</f>
        <v>547950</v>
      </c>
    </row>
    <row r="7" spans="3:15" x14ac:dyDescent="0.25">
      <c r="C7" s="124" t="s">
        <v>96</v>
      </c>
      <c r="D7" s="125">
        <f>帳戶!F7</f>
        <v>4917000</v>
      </c>
      <c r="E7" s="69">
        <f t="shared" si="0"/>
        <v>0.19414530874138364</v>
      </c>
      <c r="F7" s="125">
        <f>帳戶!E7</f>
        <v>2819000</v>
      </c>
      <c r="G7" s="125">
        <v>4867500</v>
      </c>
      <c r="H7" s="94">
        <f>D7-G7</f>
        <v>49500</v>
      </c>
      <c r="I7" s="92">
        <v>2819000</v>
      </c>
      <c r="J7" s="21">
        <f>IFERROR(H7/G7,"n/a")</f>
        <v>1.0169491525423728E-2</v>
      </c>
      <c r="K7" s="29" t="s">
        <v>95</v>
      </c>
      <c r="L7" s="130"/>
      <c r="M7" s="130"/>
      <c r="N7" s="131"/>
      <c r="O7" s="98">
        <f>D7*0.1</f>
        <v>491700</v>
      </c>
    </row>
    <row r="8" spans="3:15" x14ac:dyDescent="0.25">
      <c r="C8" s="124" t="s">
        <v>93</v>
      </c>
      <c r="D8" s="125">
        <f>帳戶!F9</f>
        <v>2928100</v>
      </c>
      <c r="E8" s="69">
        <f t="shared" si="0"/>
        <v>0.11561457769486383</v>
      </c>
      <c r="F8" s="125">
        <f>帳戶!E9</f>
        <v>0</v>
      </c>
      <c r="G8" s="125">
        <v>2903180</v>
      </c>
      <c r="H8" s="94">
        <f t="shared" ref="H8" si="5">D8-G8</f>
        <v>24920</v>
      </c>
      <c r="I8" s="92">
        <v>0</v>
      </c>
      <c r="J8" s="21">
        <f t="shared" ref="J8" si="6">IFERROR(H8/G8,"n/a")</f>
        <v>8.5836909871244635E-3</v>
      </c>
      <c r="K8" s="29" t="s">
        <v>91</v>
      </c>
      <c r="L8" s="130"/>
      <c r="M8" s="130"/>
      <c r="N8" s="131"/>
      <c r="O8" s="98">
        <f>D8*0.1</f>
        <v>292810</v>
      </c>
    </row>
    <row r="9" spans="3:15" x14ac:dyDescent="0.25">
      <c r="C9" s="124" t="s">
        <v>99</v>
      </c>
      <c r="D9" s="125">
        <f>帳戶!F8</f>
        <v>1765352</v>
      </c>
      <c r="E9" s="69">
        <f t="shared" si="0"/>
        <v>6.9704049029330709E-2</v>
      </c>
      <c r="F9" s="125">
        <v>0</v>
      </c>
      <c r="G9" s="125">
        <v>2662200</v>
      </c>
      <c r="H9" s="94">
        <f>D9-G9</f>
        <v>-896848</v>
      </c>
      <c r="I9" s="92">
        <v>0</v>
      </c>
      <c r="J9" s="21">
        <f>IFERROR(H9/G9,"n/a")</f>
        <v>-0.33688227781534069</v>
      </c>
      <c r="K9" s="29" t="s">
        <v>97</v>
      </c>
      <c r="L9" s="130"/>
      <c r="M9" s="130"/>
      <c r="N9" s="131"/>
      <c r="O9" s="98">
        <f t="shared" ref="O9" si="7">D9*0.1</f>
        <v>176535.2</v>
      </c>
    </row>
    <row r="10" spans="3:15" x14ac:dyDescent="0.25">
      <c r="C10" s="124" t="s">
        <v>104</v>
      </c>
      <c r="D10" s="125">
        <f>帳戶!F10</f>
        <v>0</v>
      </c>
      <c r="E10" s="69">
        <f t="shared" si="0"/>
        <v>0</v>
      </c>
      <c r="F10" s="125">
        <v>0</v>
      </c>
      <c r="G10" s="125">
        <v>1155000</v>
      </c>
      <c r="H10" s="94">
        <f t="shared" ref="H10" si="8">D10-G10</f>
        <v>-1155000</v>
      </c>
      <c r="I10" s="92">
        <v>0</v>
      </c>
      <c r="J10" s="21">
        <f t="shared" ref="J10" si="9">IFERROR(H10/G10,"n/a")</f>
        <v>-1</v>
      </c>
      <c r="K10" s="29" t="s">
        <v>84</v>
      </c>
      <c r="L10" s="130"/>
      <c r="M10" s="130"/>
      <c r="N10" s="131"/>
      <c r="O10" s="98">
        <f t="shared" ref="O10" si="10">D10*0.1</f>
        <v>0</v>
      </c>
    </row>
    <row r="11" spans="3:15" ht="17.25" thickBot="1" x14ac:dyDescent="0.3">
      <c r="C11" s="18" t="s">
        <v>30</v>
      </c>
      <c r="D11" s="90">
        <f>SUM(D3:D10)</f>
        <v>38423442</v>
      </c>
      <c r="E11" s="118">
        <f t="shared" si="0"/>
        <v>1.5171305694522366</v>
      </c>
      <c r="F11" s="90">
        <f>SUM(F3:F10)</f>
        <v>13098000</v>
      </c>
      <c r="G11" s="90">
        <f>SUM(G3:G10)</f>
        <v>38349360</v>
      </c>
      <c r="H11" s="90">
        <f>SUM(H3:H10)</f>
        <v>74082.000000000931</v>
      </c>
      <c r="I11" s="90">
        <f>SUM(I3:I10)</f>
        <v>13098000</v>
      </c>
      <c r="J11" s="86">
        <f t="shared" ref="J11:J13" si="11">IFERROR(H11/G11,"n/a")</f>
        <v>1.9317662667643197E-3</v>
      </c>
      <c r="K11" s="86"/>
      <c r="L11" s="86"/>
      <c r="M11" s="86"/>
      <c r="N11" s="86"/>
      <c r="O11" s="126">
        <f>SUM(O3:O10)</f>
        <v>3842344.2</v>
      </c>
    </row>
    <row r="12" spans="3:15" ht="16.5" customHeight="1" x14ac:dyDescent="0.25">
      <c r="C12" s="87"/>
      <c r="D12" s="104">
        <v>0</v>
      </c>
      <c r="E12" s="106">
        <f t="shared" si="0"/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1"/>
        <v>n/a</v>
      </c>
      <c r="K12" s="107"/>
      <c r="L12" s="107"/>
      <c r="M12" s="107"/>
      <c r="N12" s="107"/>
      <c r="O12" s="100">
        <f>D12*0.1</f>
        <v>0</v>
      </c>
    </row>
    <row r="13" spans="3:15" ht="17.25" thickBot="1" x14ac:dyDescent="0.3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1"/>
        <v>n/a</v>
      </c>
      <c r="K13" s="86"/>
      <c r="L13" s="86"/>
      <c r="M13" s="86"/>
      <c r="N13" s="86"/>
      <c r="O13" s="99">
        <f>SUM(0)</f>
        <v>0</v>
      </c>
    </row>
    <row r="14" spans="3:15" x14ac:dyDescent="0.25">
      <c r="C14" s="108" t="s">
        <v>31</v>
      </c>
      <c r="D14" s="109">
        <f ca="1">D14-帳戶!F14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25">
      <c r="C15" s="71" t="s">
        <v>32</v>
      </c>
      <c r="D15" s="91">
        <f>帳戶!C20</f>
        <v>949</v>
      </c>
      <c r="E15" s="69">
        <f>D15/$D$19</f>
        <v>3.7470794792672986E-5</v>
      </c>
      <c r="F15" s="69"/>
      <c r="G15" s="91">
        <v>19731</v>
      </c>
      <c r="H15" s="94">
        <f>D15-G15</f>
        <v>-18782</v>
      </c>
      <c r="I15" s="22"/>
      <c r="J15" s="70">
        <f>H15/G15</f>
        <v>-0.95190309664994177</v>
      </c>
      <c r="K15" s="29" t="s">
        <v>32</v>
      </c>
      <c r="L15" s="29"/>
      <c r="M15" s="29"/>
      <c r="N15" s="29"/>
      <c r="O15" s="98"/>
    </row>
    <row r="16" spans="3:15" x14ac:dyDescent="0.2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25">
      <c r="C17" s="71" t="s">
        <v>52</v>
      </c>
      <c r="D17" s="91">
        <f>帳戶!C21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7.25" thickBot="1" x14ac:dyDescent="0.3">
      <c r="C18" s="113" t="s">
        <v>31</v>
      </c>
      <c r="D18" s="114">
        <f>D11+D15-F11-帳戶!F23+D17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7.25" thickBot="1" x14ac:dyDescent="0.3">
      <c r="C19" s="18" t="s">
        <v>30</v>
      </c>
      <c r="D19" s="90">
        <f>D11+D15-F11+D17+D16</f>
        <v>25326391</v>
      </c>
      <c r="E19" s="118">
        <f>D19/$D$19</f>
        <v>1</v>
      </c>
      <c r="F19" s="20"/>
      <c r="G19" s="90">
        <f>G11+G15-I11+G17+G16</f>
        <v>25271091</v>
      </c>
      <c r="H19" s="95">
        <f t="shared" ref="H19" si="12">D19-G19</f>
        <v>55300</v>
      </c>
      <c r="I19" s="19"/>
      <c r="J19" s="20">
        <f>H19/G19</f>
        <v>2.1882711751542504E-3</v>
      </c>
      <c r="K19" s="20"/>
      <c r="L19" s="20"/>
      <c r="M19" s="20"/>
      <c r="N19" s="20"/>
      <c r="O19" s="99"/>
    </row>
    <row r="20" spans="2:15" x14ac:dyDescent="0.25">
      <c r="C20" s="119" t="s">
        <v>35</v>
      </c>
      <c r="D20" s="120">
        <v>25271091</v>
      </c>
      <c r="E20" s="23"/>
      <c r="G20" s="23"/>
      <c r="I20" s="26"/>
      <c r="O20" s="97"/>
    </row>
    <row r="21" spans="2:15" ht="18.75" customHeight="1" x14ac:dyDescent="0.25">
      <c r="C21" s="11" t="s">
        <v>36</v>
      </c>
      <c r="D21" s="93">
        <f>D19-D20</f>
        <v>55300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7.25" thickBot="1" x14ac:dyDescent="0.3">
      <c r="C22" s="12" t="s">
        <v>37</v>
      </c>
      <c r="D22" s="13">
        <f>D21/D20</f>
        <v>2.1882711751542504E-3</v>
      </c>
      <c r="E22" s="23"/>
      <c r="F22" s="24"/>
      <c r="G22" s="23"/>
      <c r="H22" s="24"/>
      <c r="O22" s="97"/>
    </row>
    <row r="23" spans="2:15" x14ac:dyDescent="0.2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25">
      <c r="D24" s="25"/>
      <c r="E24" s="25"/>
    </row>
    <row r="26" spans="2:15" ht="17.25" customHeight="1" x14ac:dyDescent="0.25"/>
    <row r="28" spans="2:15" x14ac:dyDescent="0.25">
      <c r="G28" t="s">
        <v>21</v>
      </c>
    </row>
    <row r="29" spans="2:15" x14ac:dyDescent="0.25">
      <c r="B29" t="s">
        <v>53</v>
      </c>
    </row>
  </sheetData>
  <phoneticPr fontId="1" type="noConversion"/>
  <conditionalFormatting sqref="D2"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3">
    <cfRule type="dataBar" priority="1477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77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77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77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77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77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77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77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77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77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77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77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77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77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7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7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7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7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77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7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7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7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7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7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7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</conditionalFormatting>
  <conditionalFormatting sqref="E3:E14">
    <cfRule type="dataBar" priority="1478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78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{6222E11B-750B-4DF4-8F2A-B49A0F407570}</x14:id>
        </ext>
      </extLst>
    </cfRule>
  </conditionalFormatting>
  <conditionalFormatting sqref="E3:E22">
    <cfRule type="dataBar" priority="1477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{7DA9BAD1-89EB-4F34-8500-28488C4D9C1B}</x14:id>
        </ext>
      </extLst>
    </cfRule>
  </conditionalFormatting>
  <conditionalFormatting sqref="E14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</conditionalFormatting>
  <conditionalFormatting sqref="E15"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</conditionalFormatting>
  <conditionalFormatting sqref="E18:E20"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</conditionalFormatting>
  <conditionalFormatting sqref="E22"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</conditionalFormatting>
  <conditionalFormatting sqref="F16:F21"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16:F22 F2">
    <cfRule type="dataBar" priority="140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</conditionalFormatting>
  <conditionalFormatting sqref="F18:F20 F22">
    <cfRule type="dataBar" priority="1387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</conditionalFormatting>
  <conditionalFormatting sqref="F20"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</conditionalFormatting>
  <conditionalFormatting sqref="F22 F2 F18:F19">
    <cfRule type="dataBar" priority="1386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22"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</conditionalFormatting>
  <conditionalFormatting sqref="I2">
    <cfRule type="dataBar" priority="7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222E11B-750B-4DF4-8F2A-B49A0F40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7DA9BAD1-89EB-4F34-8500-28488C4D9C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 F2 F18:F19</xm:sqref>
        </x14:conditionalFormatting>
        <x14:conditionalFormatting xmlns:xm="http://schemas.microsoft.com/office/excel/2006/main"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6"/>
  <sheetViews>
    <sheetView zoomScaleNormal="100" workbookViewId="0">
      <selection activeCell="C21" sqref="C21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55100</v>
      </c>
      <c r="D4" s="3">
        <f>VLOOKUP(B4,'[1]元大(自己)'!$B$4:$D$12,3,0)</f>
        <v>167.5</v>
      </c>
      <c r="E4" s="2">
        <v>0</v>
      </c>
      <c r="F4" s="2">
        <f t="shared" ref="F4" si="0">C4*D4</f>
        <v>9229250</v>
      </c>
    </row>
    <row r="5" spans="2:6" x14ac:dyDescent="0.25">
      <c r="B5" s="7" t="s">
        <v>87</v>
      </c>
      <c r="C5" s="2">
        <v>226000</v>
      </c>
      <c r="D5" s="3">
        <f>VLOOKUP(B5,'[1]元大(自己)'!$B$4:$D$12,3,0)</f>
        <v>37.200000000000003</v>
      </c>
      <c r="E5" s="2">
        <f>2413000+745000+1317000</f>
        <v>4475000</v>
      </c>
      <c r="F5" s="2">
        <f t="shared" ref="F5:F11" si="1">C5*D5</f>
        <v>8407200</v>
      </c>
    </row>
    <row r="6" spans="2:6" x14ac:dyDescent="0.25">
      <c r="B6" s="7" t="s">
        <v>100</v>
      </c>
      <c r="C6" s="2">
        <v>1207</v>
      </c>
      <c r="D6" s="3">
        <f>VLOOKUP(B6,'[1]元大(自己)'!$B$4:$D$12,3,0)</f>
        <v>4720</v>
      </c>
      <c r="E6" s="2">
        <v>2907000</v>
      </c>
      <c r="F6" s="2">
        <f t="shared" ref="F6" si="2">C6*D6</f>
        <v>5697040</v>
      </c>
    </row>
    <row r="7" spans="2:6" x14ac:dyDescent="0.25">
      <c r="B7" s="7" t="s">
        <v>94</v>
      </c>
      <c r="C7" s="2">
        <v>33000</v>
      </c>
      <c r="D7" s="3">
        <f>VLOOKUP(B7,'[1]元大(自己)'!$B$4:$D$12,3,0)</f>
        <v>149</v>
      </c>
      <c r="E7" s="2">
        <v>2819000</v>
      </c>
      <c r="F7" s="2">
        <f t="shared" si="1"/>
        <v>4917000</v>
      </c>
    </row>
    <row r="8" spans="2:6" x14ac:dyDescent="0.25">
      <c r="B8" s="7" t="s">
        <v>98</v>
      </c>
      <c r="C8" s="2">
        <v>2962</v>
      </c>
      <c r="D8" s="3">
        <f>VLOOKUP(B8,'[1]元大(自己)'!$B$4:$D$12,3,0)</f>
        <v>596</v>
      </c>
      <c r="E8" s="2">
        <v>0</v>
      </c>
      <c r="F8" s="2">
        <f t="shared" ref="F8" si="3">C8*D8</f>
        <v>1765352</v>
      </c>
    </row>
    <row r="9" spans="2:6" x14ac:dyDescent="0.25">
      <c r="B9" s="7" t="s">
        <v>92</v>
      </c>
      <c r="C9" s="2">
        <v>1246</v>
      </c>
      <c r="D9" s="3">
        <f>VLOOKUP(B9,'[1]元大(自己)'!$B$4:$D$12,3,0)</f>
        <v>2350</v>
      </c>
      <c r="E9" s="2">
        <v>0</v>
      </c>
      <c r="F9" s="2">
        <f t="shared" si="1"/>
        <v>2928100</v>
      </c>
    </row>
    <row r="10" spans="2:6" x14ac:dyDescent="0.25">
      <c r="B10" s="7" t="s">
        <v>103</v>
      </c>
      <c r="C10" s="2">
        <v>0</v>
      </c>
      <c r="D10" s="3">
        <f>VLOOKUP(B10,'[1]元大(自己)'!$B$4:$D$12,3,0)</f>
        <v>126.5</v>
      </c>
      <c r="E10" s="2">
        <v>0</v>
      </c>
      <c r="F10" s="2">
        <f t="shared" ref="F10" si="4">C10*D10</f>
        <v>0</v>
      </c>
    </row>
    <row r="11" spans="2:6" x14ac:dyDescent="0.25">
      <c r="B11" s="7" t="s">
        <v>88</v>
      </c>
      <c r="C11" s="2">
        <v>130000</v>
      </c>
      <c r="D11" s="3">
        <f>VLOOKUP(B11,'[1]元大(自己)'!$B$4:$D$12,3,0)</f>
        <v>42.15</v>
      </c>
      <c r="E11" s="2">
        <f>2408000+489000</f>
        <v>2897000</v>
      </c>
      <c r="F11" s="2">
        <f t="shared" si="1"/>
        <v>5479500</v>
      </c>
    </row>
    <row r="12" spans="2:6" x14ac:dyDescent="0.25">
      <c r="B12" s="7"/>
      <c r="C12" s="2"/>
      <c r="D12" s="32"/>
      <c r="E12" s="3"/>
      <c r="F12" s="3"/>
    </row>
    <row r="13" spans="2:6" x14ac:dyDescent="0.25">
      <c r="C13" s="85"/>
    </row>
    <row r="14" spans="2:6" x14ac:dyDescent="0.25">
      <c r="D14" s="4" t="s">
        <v>57</v>
      </c>
      <c r="E14" s="9">
        <f>SUM(E4:E11)</f>
        <v>13098000</v>
      </c>
      <c r="F14" s="9">
        <f>SUM(F4:F11)</f>
        <v>38423442</v>
      </c>
    </row>
    <row r="15" spans="2:6" ht="17.25" thickBot="1" x14ac:dyDescent="0.3"/>
    <row r="16" spans="2:6" x14ac:dyDescent="0.25">
      <c r="B16" s="138" t="s">
        <v>32</v>
      </c>
      <c r="C16" s="139"/>
      <c r="D16" s="5"/>
      <c r="E16" s="5"/>
      <c r="F16" s="5"/>
    </row>
    <row r="17" spans="2:13" x14ac:dyDescent="0.25">
      <c r="B17" s="72" t="s">
        <v>43</v>
      </c>
      <c r="C17" s="8">
        <v>8338</v>
      </c>
      <c r="E17" s="132">
        <v>31.9</v>
      </c>
      <c r="F17" s="5"/>
    </row>
    <row r="18" spans="2:13" x14ac:dyDescent="0.25">
      <c r="B18" s="72" t="s">
        <v>44</v>
      </c>
      <c r="C18" s="8">
        <v>11393</v>
      </c>
      <c r="E18" s="5"/>
      <c r="F18" s="5"/>
    </row>
    <row r="19" spans="2:13" x14ac:dyDescent="0.25">
      <c r="B19" s="72" t="s">
        <v>45</v>
      </c>
      <c r="C19" s="8">
        <v>-18782</v>
      </c>
      <c r="E19" s="5"/>
      <c r="F19" s="5"/>
    </row>
    <row r="20" spans="2:13" ht="17.25" thickBot="1" x14ac:dyDescent="0.3">
      <c r="B20" s="73" t="s">
        <v>46</v>
      </c>
      <c r="C20" s="74">
        <f>SUM(C17:C19)</f>
        <v>949</v>
      </c>
      <c r="F20" s="129">
        <f>F23+期貨!C4</f>
        <v>25326391</v>
      </c>
    </row>
    <row r="21" spans="2:13" ht="17.25" thickBot="1" x14ac:dyDescent="0.3">
      <c r="B21" s="75" t="s">
        <v>33</v>
      </c>
      <c r="C21" s="76">
        <v>0</v>
      </c>
      <c r="F21" s="23"/>
    </row>
    <row r="23" spans="2:13" x14ac:dyDescent="0.25">
      <c r="D23" s="6" t="s">
        <v>47</v>
      </c>
      <c r="E23" s="6"/>
      <c r="F23" s="10">
        <f>F14+C20+C21-E14</f>
        <v>25326391</v>
      </c>
    </row>
    <row r="25" spans="2:13" x14ac:dyDescent="0.25">
      <c r="F25" s="129"/>
    </row>
    <row r="26" spans="2:13" x14ac:dyDescent="0.25">
      <c r="F26" s="23"/>
    </row>
    <row r="27" spans="2:13" x14ac:dyDescent="0.25">
      <c r="D27" s="121">
        <f>SUM(D28:D43)</f>
        <v>0.99969000000000019</v>
      </c>
      <c r="H27" s="23">
        <f>(F23+期貨!C4)*0.67</f>
        <v>16968681.970000003</v>
      </c>
      <c r="K27" t="s">
        <v>60</v>
      </c>
      <c r="L27" t="s">
        <v>61</v>
      </c>
      <c r="M27" t="s">
        <v>62</v>
      </c>
    </row>
    <row r="28" spans="2:13" x14ac:dyDescent="0.25">
      <c r="B28">
        <v>8299</v>
      </c>
      <c r="C28" t="s">
        <v>69</v>
      </c>
      <c r="D28" s="122">
        <v>0.2127</v>
      </c>
      <c r="F28" s="122">
        <v>0.2127</v>
      </c>
      <c r="G28">
        <v>2670</v>
      </c>
      <c r="H28" s="123">
        <f>$H$27*F28/G28</f>
        <v>1351.7747771606744</v>
      </c>
      <c r="I28">
        <v>1.3</v>
      </c>
      <c r="J28">
        <f>I28*G28</f>
        <v>3471</v>
      </c>
      <c r="K28">
        <v>1.3</v>
      </c>
      <c r="L28">
        <v>0</v>
      </c>
      <c r="M28">
        <v>0</v>
      </c>
    </row>
    <row r="29" spans="2:13" x14ac:dyDescent="0.25">
      <c r="B29">
        <v>2451</v>
      </c>
      <c r="C29" t="s">
        <v>70</v>
      </c>
      <c r="D29" s="122">
        <v>8.5079999999999989E-2</v>
      </c>
      <c r="F29" s="122">
        <v>8.5079999999999989E-2</v>
      </c>
      <c r="G29">
        <v>343.5</v>
      </c>
      <c r="H29" s="123">
        <f t="shared" ref="H29:H43" si="5">$H$27*F29/G29</f>
        <v>4202.8979971109175</v>
      </c>
      <c r="I29">
        <v>4</v>
      </c>
      <c r="J29">
        <f t="shared" ref="J29:J43" si="6">I29*G29</f>
        <v>1374</v>
      </c>
      <c r="K29">
        <v>4</v>
      </c>
      <c r="L29">
        <v>0</v>
      </c>
      <c r="M29">
        <v>0</v>
      </c>
    </row>
    <row r="30" spans="2:13" x14ac:dyDescent="0.25">
      <c r="B30">
        <v>5289</v>
      </c>
      <c r="C30" t="s">
        <v>63</v>
      </c>
      <c r="D30" s="122">
        <v>8.5079999999999989E-2</v>
      </c>
      <c r="F30" s="122">
        <v>8.5079999999999989E-2</v>
      </c>
      <c r="G30">
        <v>1760</v>
      </c>
      <c r="H30" s="123">
        <f t="shared" si="5"/>
        <v>820.28151250431824</v>
      </c>
      <c r="I30">
        <v>1</v>
      </c>
      <c r="J30">
        <f t="shared" si="6"/>
        <v>1760</v>
      </c>
      <c r="K30">
        <v>1</v>
      </c>
      <c r="L30">
        <v>0</v>
      </c>
      <c r="M30">
        <v>0</v>
      </c>
    </row>
    <row r="31" spans="2:13" x14ac:dyDescent="0.25">
      <c r="B31">
        <v>3135</v>
      </c>
      <c r="C31" t="s">
        <v>71</v>
      </c>
      <c r="D31" s="122">
        <v>4.2539999999999994E-2</v>
      </c>
      <c r="F31" s="122">
        <v>4.2539999999999994E-2</v>
      </c>
      <c r="G31">
        <v>194.5</v>
      </c>
      <c r="H31" s="123">
        <f t="shared" si="5"/>
        <v>3711.2993881943448</v>
      </c>
      <c r="I31">
        <v>4</v>
      </c>
      <c r="J31">
        <f t="shared" si="6"/>
        <v>778</v>
      </c>
      <c r="K31">
        <v>4</v>
      </c>
      <c r="L31">
        <v>0</v>
      </c>
      <c r="M31">
        <v>0</v>
      </c>
    </row>
    <row r="32" spans="2:13" x14ac:dyDescent="0.25">
      <c r="B32">
        <v>8271</v>
      </c>
      <c r="C32" t="s">
        <v>72</v>
      </c>
      <c r="D32" s="122">
        <v>4.2539999999999994E-2</v>
      </c>
      <c r="F32" s="122">
        <v>4.2539999999999994E-2</v>
      </c>
      <c r="G32">
        <v>256</v>
      </c>
      <c r="H32" s="123">
        <f t="shared" si="5"/>
        <v>2819.717699233594</v>
      </c>
      <c r="I32">
        <v>3</v>
      </c>
      <c r="J32">
        <f t="shared" si="6"/>
        <v>768</v>
      </c>
      <c r="K32">
        <v>3</v>
      </c>
      <c r="L32">
        <v>0</v>
      </c>
      <c r="M32">
        <v>0</v>
      </c>
    </row>
    <row r="33" spans="2:13" x14ac:dyDescent="0.25">
      <c r="B33">
        <v>3036</v>
      </c>
      <c r="C33" t="s">
        <v>73</v>
      </c>
      <c r="D33" s="122">
        <v>8.5079999999999989E-2</v>
      </c>
      <c r="F33" s="122">
        <v>8.5079999999999989E-2</v>
      </c>
      <c r="G33">
        <v>264.5</v>
      </c>
      <c r="H33" s="123">
        <f t="shared" si="5"/>
        <v>5458.2059055107757</v>
      </c>
      <c r="I33">
        <v>5</v>
      </c>
      <c r="J33">
        <f t="shared" si="6"/>
        <v>1322.5</v>
      </c>
      <c r="K33">
        <v>5</v>
      </c>
      <c r="L33">
        <v>0</v>
      </c>
      <c r="M33">
        <v>0</v>
      </c>
    </row>
    <row r="34" spans="2:13" x14ac:dyDescent="0.25">
      <c r="B34">
        <v>2059</v>
      </c>
      <c r="C34" t="s">
        <v>74</v>
      </c>
      <c r="D34" s="122">
        <v>8.5079999999999989E-2</v>
      </c>
      <c r="F34" s="122">
        <v>8.5079999999999989E-2</v>
      </c>
      <c r="G34">
        <v>5520</v>
      </c>
      <c r="H34" s="123">
        <f t="shared" si="5"/>
        <v>261.53903297239134</v>
      </c>
      <c r="I34">
        <v>0.3</v>
      </c>
      <c r="J34">
        <f t="shared" si="6"/>
        <v>1656</v>
      </c>
      <c r="K34">
        <v>0.3</v>
      </c>
      <c r="L34">
        <v>0</v>
      </c>
      <c r="M34">
        <v>0</v>
      </c>
    </row>
    <row r="35" spans="2:13" x14ac:dyDescent="0.25">
      <c r="B35">
        <v>3055</v>
      </c>
      <c r="C35" t="s">
        <v>75</v>
      </c>
      <c r="D35" s="122">
        <v>2.1269999999999997E-2</v>
      </c>
      <c r="F35" s="122">
        <v>2.1269999999999997E-2</v>
      </c>
      <c r="G35">
        <v>100</v>
      </c>
      <c r="H35" s="123">
        <f t="shared" si="5"/>
        <v>3609.2386550190004</v>
      </c>
      <c r="I35">
        <v>4</v>
      </c>
      <c r="J35">
        <f t="shared" si="6"/>
        <v>400</v>
      </c>
      <c r="K35">
        <v>4</v>
      </c>
      <c r="L35">
        <v>0</v>
      </c>
      <c r="M35">
        <v>0</v>
      </c>
    </row>
    <row r="36" spans="2:13" x14ac:dyDescent="0.25">
      <c r="B36">
        <v>3209</v>
      </c>
      <c r="C36" t="s">
        <v>76</v>
      </c>
      <c r="D36" s="122">
        <v>2.1269999999999997E-2</v>
      </c>
      <c r="E36" s="121"/>
      <c r="F36" s="122">
        <v>2.1269999999999997E-2</v>
      </c>
      <c r="G36">
        <v>60.5</v>
      </c>
      <c r="H36" s="123">
        <f t="shared" si="5"/>
        <v>5965.6837273041328</v>
      </c>
      <c r="I36">
        <v>6</v>
      </c>
      <c r="J36">
        <f t="shared" si="6"/>
        <v>363</v>
      </c>
      <c r="K36">
        <v>6</v>
      </c>
      <c r="L36">
        <v>0</v>
      </c>
      <c r="M36">
        <v>0</v>
      </c>
    </row>
    <row r="37" spans="2:13" x14ac:dyDescent="0.25">
      <c r="B37">
        <v>4973</v>
      </c>
      <c r="C37" t="s">
        <v>77</v>
      </c>
      <c r="D37" s="122">
        <v>2.1269999999999997E-2</v>
      </c>
      <c r="E37" s="121"/>
      <c r="F37" s="122">
        <v>2.1269999999999997E-2</v>
      </c>
      <c r="G37">
        <v>109.5</v>
      </c>
      <c r="H37" s="123">
        <f t="shared" si="5"/>
        <v>3296.1083607479454</v>
      </c>
      <c r="I37">
        <v>3</v>
      </c>
      <c r="J37">
        <f t="shared" si="6"/>
        <v>328.5</v>
      </c>
      <c r="K37">
        <v>3</v>
      </c>
      <c r="L37">
        <v>0</v>
      </c>
      <c r="M37">
        <v>0</v>
      </c>
    </row>
    <row r="38" spans="2:13" x14ac:dyDescent="0.25">
      <c r="B38">
        <v>6166</v>
      </c>
      <c r="C38" t="s">
        <v>78</v>
      </c>
      <c r="D38" s="122">
        <v>4.2539999999999994E-2</v>
      </c>
      <c r="E38" s="121"/>
      <c r="F38" s="122">
        <v>4.2539999999999994E-2</v>
      </c>
      <c r="G38">
        <v>92.7</v>
      </c>
      <c r="H38" s="123">
        <f t="shared" si="5"/>
        <v>7786.9226645501622</v>
      </c>
      <c r="I38">
        <v>7</v>
      </c>
      <c r="J38">
        <f t="shared" si="6"/>
        <v>648.9</v>
      </c>
      <c r="K38">
        <v>7</v>
      </c>
      <c r="L38">
        <v>0</v>
      </c>
      <c r="M38">
        <v>0</v>
      </c>
    </row>
    <row r="39" spans="2:13" x14ac:dyDescent="0.25">
      <c r="B39">
        <v>6206</v>
      </c>
      <c r="C39" t="s">
        <v>79</v>
      </c>
      <c r="D39" s="122">
        <v>4.2539999999999994E-2</v>
      </c>
      <c r="E39" s="121"/>
      <c r="F39" s="122">
        <v>4.2539999999999994E-2</v>
      </c>
      <c r="G39">
        <v>130.5</v>
      </c>
      <c r="H39" s="123">
        <f t="shared" si="5"/>
        <v>5531.4002375770124</v>
      </c>
      <c r="I39">
        <v>5</v>
      </c>
      <c r="J39">
        <f t="shared" si="6"/>
        <v>652.5</v>
      </c>
      <c r="K39">
        <v>5</v>
      </c>
      <c r="L39">
        <v>0</v>
      </c>
      <c r="M39">
        <v>0</v>
      </c>
    </row>
    <row r="40" spans="2:13" x14ac:dyDescent="0.25">
      <c r="B40">
        <v>6274</v>
      </c>
      <c r="C40" t="s">
        <v>80</v>
      </c>
      <c r="D40" s="122">
        <v>8.5079999999999989E-2</v>
      </c>
      <c r="E40" s="121"/>
      <c r="F40" s="122">
        <v>8.5079999999999989E-2</v>
      </c>
      <c r="G40">
        <v>1455</v>
      </c>
      <c r="H40" s="123">
        <f t="shared" si="5"/>
        <v>992.23055808082484</v>
      </c>
      <c r="I40">
        <v>1</v>
      </c>
      <c r="J40">
        <f t="shared" si="6"/>
        <v>1455</v>
      </c>
      <c r="K40">
        <v>1</v>
      </c>
      <c r="L40">
        <v>0</v>
      </c>
      <c r="M40">
        <v>0</v>
      </c>
    </row>
    <row r="41" spans="2:13" x14ac:dyDescent="0.25">
      <c r="B41">
        <v>7610</v>
      </c>
      <c r="C41" t="s">
        <v>81</v>
      </c>
      <c r="D41" s="122">
        <v>4.2539999999999994E-2</v>
      </c>
      <c r="E41" s="121"/>
      <c r="F41" s="122">
        <v>4.2539999999999994E-2</v>
      </c>
      <c r="G41">
        <v>830</v>
      </c>
      <c r="H41" s="123">
        <f t="shared" si="5"/>
        <v>869.69606145036153</v>
      </c>
      <c r="I41">
        <v>1</v>
      </c>
      <c r="J41">
        <f t="shared" si="6"/>
        <v>830</v>
      </c>
      <c r="K41">
        <v>1</v>
      </c>
      <c r="L41">
        <v>0</v>
      </c>
      <c r="M41">
        <v>0</v>
      </c>
    </row>
    <row r="42" spans="2:13" x14ac:dyDescent="0.25">
      <c r="B42">
        <v>8227</v>
      </c>
      <c r="C42" t="s">
        <v>82</v>
      </c>
      <c r="D42" s="122">
        <v>4.2539999999999994E-2</v>
      </c>
      <c r="E42" s="121"/>
      <c r="F42" s="122">
        <v>4.2539999999999994E-2</v>
      </c>
      <c r="G42">
        <v>226</v>
      </c>
      <c r="H42" s="123">
        <f t="shared" si="5"/>
        <v>3194.0165088663721</v>
      </c>
      <c r="I42">
        <v>3</v>
      </c>
      <c r="J42">
        <f t="shared" si="6"/>
        <v>678</v>
      </c>
      <c r="K42">
        <v>3</v>
      </c>
      <c r="L42">
        <v>0</v>
      </c>
      <c r="M42">
        <v>0</v>
      </c>
    </row>
    <row r="43" spans="2:13" x14ac:dyDescent="0.25">
      <c r="B43">
        <v>6531</v>
      </c>
      <c r="C43" t="s">
        <v>83</v>
      </c>
      <c r="D43" s="122">
        <v>4.2539999999999994E-2</v>
      </c>
      <c r="F43" s="122">
        <v>4.2539999999999994E-2</v>
      </c>
      <c r="G43">
        <v>962</v>
      </c>
      <c r="H43" s="123">
        <f t="shared" si="5"/>
        <v>750.36146673991686</v>
      </c>
      <c r="I43">
        <v>1</v>
      </c>
      <c r="J43">
        <f t="shared" si="6"/>
        <v>962</v>
      </c>
      <c r="K43">
        <v>1</v>
      </c>
      <c r="L43">
        <v>0</v>
      </c>
      <c r="M43">
        <v>0</v>
      </c>
    </row>
    <row r="46" spans="2:13" x14ac:dyDescent="0.25">
      <c r="I46">
        <f>586.7-295</f>
        <v>291.70000000000005</v>
      </c>
    </row>
  </sheetData>
  <mergeCells count="2">
    <mergeCell ref="B16:C16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2026-09-10T05:31:54Z</dcterms:modified>
  <cp:category/>
  <cp:contentStatus/>
</cp:coreProperties>
</file>