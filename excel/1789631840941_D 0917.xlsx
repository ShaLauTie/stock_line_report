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09\"/>
    </mc:Choice>
  </mc:AlternateContent>
  <xr:revisionPtr revIDLastSave="0" documentId="13_ncr:1_{FDB3DE16-EE92-48EA-A76D-93D041ABF680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9" i="36" l="1"/>
  <c r="R179" i="36" s="1"/>
  <c r="L179" i="36"/>
  <c r="Q179" i="36" s="1"/>
  <c r="F6" i="17"/>
  <c r="D10" i="2"/>
  <c r="F10" i="2" s="1"/>
  <c r="D5" i="17" s="1"/>
  <c r="D9" i="2"/>
  <c r="F9" i="2" s="1"/>
  <c r="D7" i="17" s="1"/>
  <c r="D8" i="2"/>
  <c r="F8" i="2" s="1"/>
  <c r="D8" i="17" s="1"/>
  <c r="D7" i="2"/>
  <c r="F7" i="2" s="1"/>
  <c r="D6" i="17" s="1"/>
  <c r="D6" i="2"/>
  <c r="F6" i="2" s="1"/>
  <c r="D9" i="17" s="1"/>
  <c r="D5" i="2"/>
  <c r="F5" i="2" s="1"/>
  <c r="D4" i="17" s="1"/>
  <c r="D4" i="2"/>
  <c r="F4" i="2" s="1"/>
  <c r="E10" i="2"/>
  <c r="P179" i="36"/>
  <c r="O179" i="36"/>
  <c r="R178" i="36"/>
  <c r="Q178" i="36"/>
  <c r="P178" i="36"/>
  <c r="O178" i="36"/>
  <c r="N178" i="36"/>
  <c r="R177" i="36"/>
  <c r="Q177" i="36"/>
  <c r="P177" i="36"/>
  <c r="O177" i="36"/>
  <c r="N177" i="36"/>
  <c r="R176" i="36"/>
  <c r="Q176" i="36"/>
  <c r="P176" i="36"/>
  <c r="O176" i="36"/>
  <c r="N176" i="36"/>
  <c r="R175" i="36"/>
  <c r="Q175" i="36"/>
  <c r="P175" i="36"/>
  <c r="O175" i="36"/>
  <c r="N175" i="36"/>
  <c r="R174" i="36"/>
  <c r="Q174" i="36"/>
  <c r="P174" i="36"/>
  <c r="O174" i="36"/>
  <c r="N174" i="36"/>
  <c r="R173" i="36"/>
  <c r="Q173" i="36"/>
  <c r="P173" i="36"/>
  <c r="O173" i="36"/>
  <c r="N173" i="36"/>
  <c r="R172" i="36"/>
  <c r="Q172" i="36"/>
  <c r="P172" i="36"/>
  <c r="O172" i="36"/>
  <c r="N172" i="36"/>
  <c r="F5" i="17"/>
  <c r="R171" i="36"/>
  <c r="Q171" i="36"/>
  <c r="R170" i="36"/>
  <c r="Q170" i="36"/>
  <c r="N170" i="36"/>
  <c r="R169" i="36"/>
  <c r="Q169" i="36"/>
  <c r="N169" i="36"/>
  <c r="F8" i="17"/>
  <c r="C19" i="2"/>
  <c r="D14" i="17" s="1"/>
  <c r="H14" i="17" s="1"/>
  <c r="J14" i="17" s="1"/>
  <c r="F3" i="17"/>
  <c r="F7" i="17"/>
  <c r="D16" i="17"/>
  <c r="H16" i="17" s="1"/>
  <c r="J16" i="17" s="1"/>
  <c r="D15" i="17"/>
  <c r="H15" i="17" s="1"/>
  <c r="J15" i="17" s="1"/>
  <c r="I7" i="36"/>
  <c r="J7" i="36" s="1"/>
  <c r="G7" i="36"/>
  <c r="C171" i="36"/>
  <c r="R168" i="36"/>
  <c r="Q168" i="36"/>
  <c r="O168" i="36"/>
  <c r="N168" i="36"/>
  <c r="R167" i="36"/>
  <c r="Q167" i="36"/>
  <c r="O167" i="36"/>
  <c r="N167" i="36"/>
  <c r="R166" i="36"/>
  <c r="Q166" i="36"/>
  <c r="O166" i="36"/>
  <c r="N166" i="36"/>
  <c r="R165" i="36"/>
  <c r="Q165" i="36"/>
  <c r="O165" i="36"/>
  <c r="N165" i="36"/>
  <c r="R164" i="36"/>
  <c r="Q164" i="36"/>
  <c r="O164" i="36"/>
  <c r="N164" i="36"/>
  <c r="R163" i="36"/>
  <c r="Q163" i="36"/>
  <c r="N163" i="36"/>
  <c r="E5" i="2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0" i="17"/>
  <c r="G10" i="17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 s="1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 s="1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 s="1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5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6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7" i="2"/>
  <c r="O12" i="17"/>
  <c r="H11" i="17"/>
  <c r="J11" i="17" s="1"/>
  <c r="O11" i="17"/>
  <c r="D12" i="17"/>
  <c r="G12" i="17"/>
  <c r="S7" i="36"/>
  <c r="T7" i="36"/>
  <c r="B3" i="36"/>
  <c r="O156" i="36"/>
  <c r="O155" i="36"/>
  <c r="O154" i="36"/>
  <c r="O153" i="36"/>
  <c r="O89" i="36"/>
  <c r="O86" i="36"/>
  <c r="O45" i="36"/>
  <c r="O76" i="36"/>
  <c r="O39" i="36"/>
  <c r="O81" i="36"/>
  <c r="O151" i="36"/>
  <c r="O87" i="36"/>
  <c r="O38" i="36"/>
  <c r="O63" i="36"/>
  <c r="O35" i="36"/>
  <c r="O136" i="36"/>
  <c r="O110" i="36"/>
  <c r="O107" i="36"/>
  <c r="O99" i="36"/>
  <c r="O59" i="36"/>
  <c r="O150" i="36"/>
  <c r="O72" i="36"/>
  <c r="O97" i="36"/>
  <c r="O149" i="36"/>
  <c r="O83" i="36"/>
  <c r="O138" i="36"/>
  <c r="O103" i="36"/>
  <c r="O117" i="36"/>
  <c r="O120" i="36"/>
  <c r="O12" i="36"/>
  <c r="O84" i="36"/>
  <c r="O47" i="36"/>
  <c r="O105" i="36"/>
  <c r="O70" i="36"/>
  <c r="O111" i="36"/>
  <c r="O42" i="36"/>
  <c r="O17" i="36"/>
  <c r="O32" i="36"/>
  <c r="O66" i="36"/>
  <c r="O20" i="36"/>
  <c r="O104" i="36"/>
  <c r="O64" i="36"/>
  <c r="O122" i="36"/>
  <c r="O77" i="36"/>
  <c r="O62" i="36"/>
  <c r="O141" i="36"/>
  <c r="O53" i="36"/>
  <c r="O137" i="36"/>
  <c r="O126" i="36"/>
  <c r="O108" i="36"/>
  <c r="O100" i="36"/>
  <c r="O9" i="36"/>
  <c r="O16" i="36"/>
  <c r="O82" i="36"/>
  <c r="O98" i="36"/>
  <c r="O147" i="36"/>
  <c r="O73" i="36"/>
  <c r="O106" i="36"/>
  <c r="O118" i="36"/>
  <c r="O115" i="36"/>
  <c r="O121" i="36"/>
  <c r="O30" i="36"/>
  <c r="O44" i="36"/>
  <c r="O60" i="36"/>
  <c r="O14" i="36"/>
  <c r="O85" i="36"/>
  <c r="O91" i="36"/>
  <c r="O94" i="36"/>
  <c r="O51" i="36"/>
  <c r="O50" i="36"/>
  <c r="O125" i="36"/>
  <c r="O37" i="36"/>
  <c r="O27" i="36"/>
  <c r="O21" i="36"/>
  <c r="O11" i="36"/>
  <c r="O24" i="36"/>
  <c r="O40" i="36"/>
  <c r="O13" i="36"/>
  <c r="O26" i="36"/>
  <c r="O113" i="36"/>
  <c r="O146" i="36"/>
  <c r="O142" i="36"/>
  <c r="O57" i="36"/>
  <c r="O71" i="36"/>
  <c r="O41" i="36"/>
  <c r="O140" i="36"/>
  <c r="O75" i="36"/>
  <c r="O19" i="36"/>
  <c r="O90" i="36"/>
  <c r="O68" i="36"/>
  <c r="O102" i="36"/>
  <c r="O123" i="36"/>
  <c r="O33" i="36"/>
  <c r="O145" i="36"/>
  <c r="O144" i="36"/>
  <c r="O132" i="36"/>
  <c r="O131" i="36"/>
  <c r="O130" i="36"/>
  <c r="O129" i="36"/>
  <c r="O112" i="36"/>
  <c r="O148" i="36"/>
  <c r="O48" i="36"/>
  <c r="O127" i="36"/>
  <c r="O160" i="36"/>
  <c r="O159" i="36"/>
  <c r="O65" i="36"/>
  <c r="O36" i="36"/>
  <c r="O15" i="36"/>
  <c r="O55" i="36"/>
  <c r="O80" i="36"/>
  <c r="O67" i="36"/>
  <c r="O49" i="36"/>
  <c r="O34" i="36"/>
  <c r="O133" i="36"/>
  <c r="O46" i="36"/>
  <c r="O56" i="36"/>
  <c r="O95" i="36"/>
  <c r="O96" i="36"/>
  <c r="O93" i="36"/>
  <c r="O43" i="36"/>
  <c r="O114" i="36"/>
  <c r="O28" i="36"/>
  <c r="O23" i="36"/>
  <c r="O162" i="36"/>
  <c r="O158" i="36"/>
  <c r="O157" i="36"/>
  <c r="O161" i="36"/>
  <c r="O29" i="36"/>
  <c r="O163" i="36"/>
  <c r="O74" i="36"/>
  <c r="O18" i="36"/>
  <c r="O79" i="36"/>
  <c r="O78" i="36"/>
  <c r="O152" i="36"/>
  <c r="O61" i="36"/>
  <c r="O124" i="36"/>
  <c r="O52" i="36"/>
  <c r="O139" i="36"/>
  <c r="O128" i="36"/>
  <c r="O109" i="36"/>
  <c r="O101" i="36"/>
  <c r="O8" i="36"/>
  <c r="O25" i="36"/>
  <c r="O22" i="36"/>
  <c r="O116" i="36"/>
  <c r="O88" i="36"/>
  <c r="O92" i="36"/>
  <c r="O10" i="36"/>
  <c r="O31" i="36"/>
  <c r="O69" i="36"/>
  <c r="O119" i="36"/>
  <c r="O143" i="36"/>
  <c r="O54" i="36"/>
  <c r="O58" i="36"/>
  <c r="O6" i="17" l="1"/>
  <c r="H6" i="17"/>
  <c r="J6" i="17" s="1"/>
  <c r="P170" i="36"/>
  <c r="P29" i="36"/>
  <c r="P158" i="36"/>
  <c r="P37" i="36"/>
  <c r="P68" i="36"/>
  <c r="P39" i="36"/>
  <c r="P15" i="36"/>
  <c r="P59" i="36"/>
  <c r="P101" i="36"/>
  <c r="P86" i="36"/>
  <c r="P49" i="36"/>
  <c r="P140" i="36"/>
  <c r="P130" i="36"/>
  <c r="P23" i="36"/>
  <c r="P79" i="36"/>
  <c r="P64" i="36"/>
  <c r="P122" i="36"/>
  <c r="P30" i="36"/>
  <c r="P161" i="36"/>
  <c r="P142" i="36"/>
  <c r="P9" i="36"/>
  <c r="P141" i="36"/>
  <c r="P65" i="36"/>
  <c r="P88" i="36"/>
  <c r="P94" i="36"/>
  <c r="P52" i="36"/>
  <c r="P48" i="36"/>
  <c r="P47" i="36"/>
  <c r="P133" i="36"/>
  <c r="P22" i="36"/>
  <c r="P137" i="36"/>
  <c r="P82" i="36"/>
  <c r="P87" i="36"/>
  <c r="P146" i="36"/>
  <c r="P106" i="36"/>
  <c r="P75" i="36"/>
  <c r="P165" i="36"/>
  <c r="P169" i="36"/>
  <c r="P171" i="36"/>
  <c r="P58" i="36"/>
  <c r="P123" i="36"/>
  <c r="P105" i="36"/>
  <c r="P21" i="36"/>
  <c r="P81" i="36"/>
  <c r="P89" i="36"/>
  <c r="P125" i="36"/>
  <c r="P120" i="36"/>
  <c r="P155" i="36"/>
  <c r="P127" i="36"/>
  <c r="P164" i="36"/>
  <c r="P167" i="36"/>
  <c r="P168" i="36"/>
  <c r="P14" i="36"/>
  <c r="P145" i="36"/>
  <c r="P93" i="36"/>
  <c r="P154" i="36"/>
  <c r="P10" i="36"/>
  <c r="P25" i="36"/>
  <c r="P62" i="36"/>
  <c r="P112" i="36"/>
  <c r="P45" i="36"/>
  <c r="P160" i="36"/>
  <c r="P34" i="36"/>
  <c r="P156" i="36"/>
  <c r="P60" i="36"/>
  <c r="P27" i="36"/>
  <c r="P103" i="36"/>
  <c r="P11" i="36"/>
  <c r="P35" i="36"/>
  <c r="P72" i="36"/>
  <c r="P151" i="36"/>
  <c r="P18" i="36"/>
  <c r="P149" i="36"/>
  <c r="P111" i="36"/>
  <c r="P92" i="36"/>
  <c r="P121" i="36"/>
  <c r="P61" i="36"/>
  <c r="P46" i="36"/>
  <c r="P162" i="36"/>
  <c r="P163" i="36"/>
  <c r="P147" i="36"/>
  <c r="P31" i="36"/>
  <c r="P138" i="36"/>
  <c r="P107" i="36"/>
  <c r="P117" i="36"/>
  <c r="P115" i="36"/>
  <c r="P128" i="36"/>
  <c r="P83" i="36"/>
  <c r="P24" i="36"/>
  <c r="P76" i="36"/>
  <c r="P97" i="36"/>
  <c r="P152" i="36"/>
  <c r="P110" i="36"/>
  <c r="P100" i="36"/>
  <c r="P54" i="36"/>
  <c r="P85" i="36"/>
  <c r="P80" i="36"/>
  <c r="P28" i="36"/>
  <c r="P40" i="36"/>
  <c r="P42" i="36"/>
  <c r="P63" i="36"/>
  <c r="P13" i="36"/>
  <c r="P95" i="36"/>
  <c r="P139" i="36"/>
  <c r="P131" i="36"/>
  <c r="P38" i="36"/>
  <c r="P99" i="36"/>
  <c r="P157" i="36"/>
  <c r="P129" i="36"/>
  <c r="P118" i="36"/>
  <c r="P53" i="36"/>
  <c r="P153" i="36"/>
  <c r="P102" i="36"/>
  <c r="P16" i="36"/>
  <c r="P32" i="36"/>
  <c r="P26" i="36"/>
  <c r="P51" i="36"/>
  <c r="P33" i="36"/>
  <c r="P36" i="36"/>
  <c r="P132" i="36"/>
  <c r="P66" i="36"/>
  <c r="P70" i="36"/>
  <c r="P136" i="36"/>
  <c r="P17" i="36"/>
  <c r="P78" i="36"/>
  <c r="P159" i="36"/>
  <c r="P96" i="36"/>
  <c r="P73" i="36"/>
  <c r="P57" i="36"/>
  <c r="P84" i="36"/>
  <c r="P71" i="36"/>
  <c r="P91" i="36"/>
  <c r="P90" i="36"/>
  <c r="P150" i="36"/>
  <c r="P67" i="36"/>
  <c r="P119" i="36"/>
  <c r="P113" i="36"/>
  <c r="P44" i="36"/>
  <c r="P124" i="36"/>
  <c r="P41" i="36"/>
  <c r="P56" i="36"/>
  <c r="P77" i="36"/>
  <c r="P126" i="36"/>
  <c r="P104" i="36"/>
  <c r="P108" i="36"/>
  <c r="P55" i="36"/>
  <c r="P98" i="36"/>
  <c r="P12" i="36"/>
  <c r="P144" i="36"/>
  <c r="P19" i="36"/>
  <c r="P8" i="36"/>
  <c r="P148" i="36"/>
  <c r="P109" i="36"/>
  <c r="P116" i="36"/>
  <c r="P20" i="36"/>
  <c r="P43" i="36"/>
  <c r="P143" i="36"/>
  <c r="P50" i="36"/>
  <c r="P114" i="36"/>
  <c r="P74" i="36"/>
  <c r="P69" i="36"/>
  <c r="P166" i="36"/>
  <c r="O171" i="36"/>
  <c r="O169" i="36"/>
  <c r="O170" i="36"/>
  <c r="S171" i="36"/>
  <c r="N171" i="36"/>
  <c r="G18" i="17"/>
  <c r="O8" i="17"/>
  <c r="H8" i="17"/>
  <c r="J8" i="17" s="1"/>
  <c r="H12" i="17"/>
  <c r="J12" i="17" s="1"/>
  <c r="E13" i="2"/>
  <c r="F4" i="17"/>
  <c r="F10" i="17" s="1"/>
  <c r="H9" i="17"/>
  <c r="J9" i="17" s="1"/>
  <c r="O9" i="17"/>
  <c r="O4" i="17"/>
  <c r="H4" i="17"/>
  <c r="J4" i="17" s="1"/>
  <c r="O7" i="17"/>
  <c r="H7" i="17"/>
  <c r="J7" i="17" s="1"/>
  <c r="H5" i="17"/>
  <c r="J5" i="17" s="1"/>
  <c r="O5" i="17"/>
  <c r="D3" i="17"/>
  <c r="F13" i="2"/>
  <c r="F22" i="2" l="1"/>
  <c r="D10" i="17"/>
  <c r="H3" i="17"/>
  <c r="O3" i="17"/>
  <c r="O10" i="17" s="1"/>
  <c r="F19" i="2" l="1"/>
  <c r="H26" i="2"/>
  <c r="D17" i="17"/>
  <c r="K179" i="36"/>
  <c r="D18" i="17"/>
  <c r="J3" i="17"/>
  <c r="H10" i="17"/>
  <c r="J10" i="17" s="1"/>
  <c r="E8" i="17" l="1"/>
  <c r="E6" i="17"/>
  <c r="H41" i="2"/>
  <c r="H39" i="2"/>
  <c r="H34" i="2"/>
  <c r="H40" i="2"/>
  <c r="H32" i="2"/>
  <c r="H33" i="2"/>
  <c r="H31" i="2"/>
  <c r="H30" i="2"/>
  <c r="H37" i="2"/>
  <c r="H38" i="2"/>
  <c r="H42" i="2"/>
  <c r="H27" i="2"/>
  <c r="H35" i="2"/>
  <c r="H29" i="2"/>
  <c r="H36" i="2"/>
  <c r="H28" i="2"/>
  <c r="E10" i="17"/>
  <c r="E2" i="36"/>
  <c r="E3" i="17"/>
  <c r="E15" i="17"/>
  <c r="E14" i="17"/>
  <c r="E5" i="17"/>
  <c r="E9" i="17"/>
  <c r="D20" i="17"/>
  <c r="D21" i="17" s="1"/>
  <c r="E7" i="17"/>
  <c r="B2" i="36"/>
  <c r="E4" i="17"/>
  <c r="E18" i="17"/>
  <c r="H18" i="17"/>
  <c r="J18" i="17" s="1"/>
  <c r="E11" i="17"/>
  <c r="B179" i="36"/>
  <c r="E179" i="36" s="1"/>
  <c r="E16" i="17"/>
  <c r="T179" i="36" l="1"/>
  <c r="C179" i="36"/>
  <c r="N179" i="36" s="1"/>
  <c r="S179" i="36" l="1"/>
  <c r="D13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<sst xmlns="http://schemas.openxmlformats.org/spreadsheetml/2006/main" count="115" uniqueCount="103">
  <si>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</si>
  <si>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</si>
  <si>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</si>
  <si>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</si>
  <si>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</si>
  <si>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</si>
  <si>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</si>
  <si>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</si>
  <si>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</si>
  <si>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</si>
  <si>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</si>
  <si>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</si>
  <si>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</si>
  <si>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</si>
  <si>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</si>
  <si>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</si>
  <si>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</si>
  <si>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</si>
  <si>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</si>
  <si>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</si>
  <si>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</si>
  <si>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</si>
  <si>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</si>
  <si>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</si>
  <si>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</si>
  <si>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</si>
  <si>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</si>
  <si>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</si>
  <si>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</si>
  <si>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</si>
  <si>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</si>
  <si>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</si>
  <si>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</si>
  <si>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</si>
  <si>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</si>
  <si>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</si>
  <si>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</si>
  <si>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</si>
  <si>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</si>
  <si>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</si>
  <si>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</si>
  <si>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</si>
  <si>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</si>
  <si>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</si>
  <si>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</si>
  <si>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</si>
  <si>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</si>
  <si>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</si>
  <si>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</si>
  <si>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</si>
  <si>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</si>
  <si>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</si>
  <si>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</si>
  <si>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</si>
  <si>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</si>
  <si>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</si>
  <si>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</si>
  <si>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</si>
  <si>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</si>
  <si>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</si>
  <si>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</si>
  <si>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</si>
  <si>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</si>
  <si>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</si>
  <si>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</si>
  <si>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</si>
  <si>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</si>
  <si>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</si>
  <si>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</si>
  <si>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</si>
  <si>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</si>
  <si>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</si>
  <si>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</si>
  <si>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</si>
  <si>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</si>
  <si>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</si>
  <si>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</si>
  <si>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</si>
  <si>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</si>
  <si>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</si>
  <si>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</si>
  <si>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</si>
  <si>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</si>
  <si>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</si>
  <si>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</si>
  <si>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</si>
  <si>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</si>
  <si>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凱基金</t>
  </si>
  <si>
    <t>台新新光金</t>
  </si>
  <si>
    <t>凱基金(2883)</t>
  </si>
  <si>
    <t>台新新光金(2887)</t>
  </si>
  <si>
    <t>金融</t>
  </si>
  <si>
    <t>緯穎</t>
  </si>
  <si>
    <t>緯穎(6669)</t>
  </si>
  <si>
    <t>金融</t>
    <phoneticPr fontId="1" type="noConversion"/>
  </si>
  <si>
    <t>CPO</t>
    <phoneticPr fontId="1" type="noConversion"/>
  </si>
  <si>
    <t>中華立鼎</t>
    <phoneticPr fontId="1" type="noConversion"/>
  </si>
  <si>
    <t>中華立鼎(7926)</t>
    <phoneticPr fontId="1" type="noConversion"/>
  </si>
  <si>
    <t>騰雲</t>
    <phoneticPr fontId="1" type="noConversion"/>
  </si>
  <si>
    <t>騰雲(6870)</t>
    <phoneticPr fontId="1" type="noConversion"/>
  </si>
  <si>
    <t>創意</t>
    <phoneticPr fontId="1" type="noConversion"/>
  </si>
  <si>
    <t>創意(3443)</t>
    <phoneticPr fontId="1" type="noConversion"/>
  </si>
  <si>
    <t>半導體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</si>
</sst>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總表!$A$7:$A$183</c:f>
              <c:numCache>
                <c:formatCode>m/d/yyyy</c:formatCode>
                <c:ptCount val="17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</c:numCache>
            </c:numRef>
          </c:cat>
          <c:val>
            <c:numRef>
              <c:f>總表!$N$7:$N$183</c:f>
              <c:numCache>
                <c:formatCode>0.0%</c:formatCode>
                <c:ptCount val="177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總表!$A$7:$A$183</c:f>
              <c:numCache>
                <c:formatCode>m/d/yyyy</c:formatCode>
                <c:ptCount val="17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</c:numCache>
            </c:numRef>
          </c:cat>
          <c:val>
            <c:numRef>
              <c:f>總表!$Q$7:$Q$183</c:f>
              <c:numCache>
                <c:formatCode>0.0%</c:formatCode>
                <c:ptCount val="177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總表!$A$7:$A$183</c:f>
              <c:numCache>
                <c:formatCode>m/d/yyyy</c:formatCode>
                <c:ptCount val="17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</c:numCache>
            </c:numRef>
          </c:cat>
          <c:val>
            <c:numRef>
              <c:f>總表!$R$7:$R$183</c:f>
              <c:numCache>
                <c:formatCode>0.0%</c:formatCode>
                <c:ptCount val="177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179</xdr:row>
      <xdr:rowOff>185464</xdr:rowOff>
    </xdr:from>
    <xdr:to>
      <xdr:col>20</xdr:col>
      <xdr:colOff>39252</xdr:colOff>
      <xdr:row>200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3258;&#24049;/202609/&#32929;&#31080;&#32317;&#37096;&#20301;&#24115;20260917.xlsx" TargetMode="External"/><Relationship Id="rId2" Type="http://schemas.openxmlformats.org/officeDocument/2006/relationships/externalLinkPath" Target="file:///C:\Users\PPP\Desktop\&#35352;&#24115;&#26032;\&#33258;&#24049;\202609\&#32929;&#31080;&#32317;&#37096;&#20301;&#24115;20260917.xlsx" TargetMode="External"/><Relationship Id="rId1" Type="http://schemas.openxmlformats.org/officeDocument/2006/relationships/externalLinkPath" Target="/Users/PPP/Desktop/&#35352;&#24115;&#26032;/&#33258;&#24049;/202609/&#32929;&#31080;&#32317;&#37096;&#20301;&#24115;202609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凱基金</v>
          </cell>
          <cell r="C4">
            <v>0</v>
          </cell>
          <cell r="D4">
            <v>39.65</v>
          </cell>
        </row>
        <row r="5">
          <cell r="B5" t="str">
            <v>緯穎</v>
          </cell>
          <cell r="C5">
            <v>0</v>
          </cell>
          <cell r="D5">
            <v>2140</v>
          </cell>
        </row>
        <row r="6">
          <cell r="B6" t="str">
            <v>中華立鼎</v>
          </cell>
          <cell r="C6">
            <v>0</v>
          </cell>
          <cell r="D6">
            <v>600</v>
          </cell>
        </row>
        <row r="7">
          <cell r="B7" t="str">
            <v>創意</v>
          </cell>
          <cell r="C7">
            <v>0</v>
          </cell>
          <cell r="D7">
            <v>6505</v>
          </cell>
        </row>
        <row r="8">
          <cell r="B8" t="str">
            <v>騰雲</v>
          </cell>
          <cell r="C8">
            <v>0</v>
          </cell>
          <cell r="D8">
            <v>322.5</v>
          </cell>
        </row>
        <row r="9">
          <cell r="B9" t="str">
            <v>台新新光金</v>
          </cell>
          <cell r="C9">
            <v>0</v>
          </cell>
          <cell r="D9">
            <v>44.1</v>
          </cell>
        </row>
        <row r="10">
          <cell r="B10" t="str">
            <v>仁新</v>
          </cell>
          <cell r="C10">
            <v>38000</v>
          </cell>
          <cell r="D10">
            <v>169</v>
          </cell>
        </row>
        <row r="11">
          <cell r="B11" t="str">
            <v>BLTE</v>
          </cell>
          <cell r="C11">
            <v>0</v>
          </cell>
          <cell r="D11">
            <v>183.16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10"/>
  <sheetViews>
    <sheetView tabSelected="1" topLeftCell="A2" zoomScale="70" zoomScaleNormal="70" workbookViewId="0">
      <pane xSplit="1" ySplit="5" topLeftCell="B157" activePane="bottomRight" state="frozen"/>
      <selection activeCell="A2" sqref="A2"/>
      <selection pane="topRight" activeCell="B5" sqref="B5"/>
      <selection pane="bottomLeft" activeCell="B5" sqref="B5"/>
      <selection pane="bottomRight" activeCell="Y169" sqref="Y169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按股票分類!D18</f>
        <v>25040014</v>
      </c>
      <c r="C2" s="35"/>
      <c r="D2" s="35"/>
      <c r="E2" s="36">
        <f>按股票分類!D10/按股票分類!D18</f>
        <v>1.5262511434698081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46282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9" si="319">C172/C$7-1</f>
        <v>1.1147346969436294</v>
      </c>
      <c r="O172" s="61" t="e">
        <f t="shared" ref="O172:O179" si="320">G172/G$7-1</f>
        <v>#REF!</v>
      </c>
      <c r="P172" s="61" t="e">
        <f t="shared" ref="P172:P179" si="321">J172/J$7-1</f>
        <v>#REF!</v>
      </c>
      <c r="Q172" s="61">
        <f t="shared" ref="Q172:Q179" si="322">L172/L$7-1</f>
        <v>0.65049666206313916</v>
      </c>
      <c r="R172" s="61">
        <f t="shared" ref="R172:R179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6.5" x14ac:dyDescent="0.2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6.5" x14ac:dyDescent="0.2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6.5" x14ac:dyDescent="0.2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si="319"/>
        <v>1.0441401185909629</v>
      </c>
      <c r="O176" s="61" t="e">
        <f t="shared" si="320"/>
        <v>#REF!</v>
      </c>
      <c r="P176" s="61" t="e">
        <f t="shared" si="321"/>
        <v>#REF!</v>
      </c>
      <c r="Q176" s="61">
        <f t="shared" si="322"/>
        <v>0.60699954693033953</v>
      </c>
      <c r="R176" s="61">
        <f t="shared" si="323"/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6.5" x14ac:dyDescent="0.2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19"/>
        <v>1.0243081588030085</v>
      </c>
      <c r="O177" s="61" t="e">
        <f t="shared" si="320"/>
        <v>#REF!</v>
      </c>
      <c r="P177" s="61" t="e">
        <f t="shared" si="321"/>
        <v>#REF!</v>
      </c>
      <c r="Q177" s="61">
        <f t="shared" si="322"/>
        <v>0.59470051124344114</v>
      </c>
      <c r="R177" s="61">
        <f t="shared" si="323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6.5" x14ac:dyDescent="0.2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19"/>
        <v>1.0128299881182872</v>
      </c>
      <c r="O178" s="61" t="e">
        <f t="shared" si="320"/>
        <v>#REF!</v>
      </c>
      <c r="P178" s="61" t="e">
        <f t="shared" si="321"/>
        <v>#REF!</v>
      </c>
      <c r="Q178" s="61">
        <f t="shared" si="322"/>
        <v>0.60506606456652356</v>
      </c>
      <c r="R178" s="61">
        <f t="shared" si="323"/>
        <v>0.46769087198589254</v>
      </c>
      <c r="S178" s="83">
        <v>-0.15404597063641368</v>
      </c>
      <c r="T178" s="62">
        <v>1.250259193774534</v>
      </c>
      <c r="U178" s="62">
        <v>0</v>
      </c>
    </row>
    <row r="179" spans="1:21" ht="17.100000000000001" customHeight="1" x14ac:dyDescent="0.25">
      <c r="A179" s="55">
        <v>46282</v>
      </c>
      <c r="B179" s="56">
        <f>按股票分類!D18</f>
        <v>25040014</v>
      </c>
      <c r="C179" s="79">
        <f>B179/D179</f>
        <v>20.225578072383943</v>
      </c>
      <c r="D179" s="58">
        <v>1238037</v>
      </c>
      <c r="E179" s="58">
        <f>B179-B178</f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f>按股票分類!D10</f>
        <v>38217350</v>
      </c>
      <c r="L179" s="60">
        <f>L178*(1+0.0096)</f>
        <v>106798.97308872001</v>
      </c>
      <c r="M179" s="60">
        <f>M178*(1-0.0026)</f>
        <v>738.83228852399975</v>
      </c>
      <c r="N179" s="61">
        <f t="shared" si="319"/>
        <v>1.0225578072383943</v>
      </c>
      <c r="O179" s="61" t="e">
        <f t="shared" si="320"/>
        <v>#REF!</v>
      </c>
      <c r="P179" s="61" t="e">
        <f t="shared" si="321"/>
        <v>#REF!</v>
      </c>
      <c r="Q179" s="61">
        <f t="shared" si="322"/>
        <v>0.6204746987863623</v>
      </c>
      <c r="R179" s="61">
        <f t="shared" si="323"/>
        <v>0.46387487571872921</v>
      </c>
      <c r="S179" s="83">
        <f>C179/MAX($C$7:C179)-1</f>
        <v>-0.14995755391460797</v>
      </c>
      <c r="T179" s="62">
        <f>K179/B179</f>
        <v>1.5262511434698081</v>
      </c>
      <c r="U179" s="62">
        <v>0</v>
      </c>
    </row>
    <row r="180" spans="1:21" ht="16.5" x14ac:dyDescent="0.25">
      <c r="A180" s="55"/>
      <c r="B180" s="56"/>
      <c r="C180" s="61"/>
      <c r="D180" s="56"/>
      <c r="F180" s="58"/>
      <c r="G180" s="58"/>
      <c r="H180" s="58"/>
      <c r="I180" s="59"/>
      <c r="J180" s="59"/>
      <c r="K180" s="59"/>
      <c r="L180" s="60"/>
      <c r="M180" s="84"/>
      <c r="N180" s="61"/>
      <c r="O180" s="61"/>
      <c r="P180" s="61"/>
      <c r="Q180" s="61"/>
      <c r="R180" s="61"/>
      <c r="S180" s="61"/>
      <c r="T180" s="62"/>
      <c r="U180" s="62"/>
    </row>
    <row r="181" spans="1:21" ht="16.5" x14ac:dyDescent="0.25">
      <c r="A181" s="55"/>
      <c r="B181" s="56"/>
      <c r="C181" s="56"/>
      <c r="D181" s="56"/>
      <c r="E181" s="57"/>
      <c r="F181" s="58"/>
      <c r="G181" s="58"/>
      <c r="H181" s="58"/>
      <c r="I181" s="59"/>
      <c r="J181" s="59"/>
      <c r="K181" s="59"/>
      <c r="L181" s="60"/>
      <c r="M181" s="60"/>
      <c r="N181" s="61"/>
      <c r="O181" s="61"/>
      <c r="P181" s="61"/>
      <c r="Q181" s="61"/>
      <c r="R181" s="61"/>
      <c r="S181" s="61"/>
      <c r="T181" s="62"/>
      <c r="U181" s="62"/>
    </row>
    <row r="182" spans="1:21" ht="16.5" x14ac:dyDescent="0.25">
      <c r="A182" s="55"/>
      <c r="B182" s="56"/>
      <c r="C182" s="56"/>
      <c r="D182" s="56"/>
      <c r="E182" s="57"/>
      <c r="F182" s="58"/>
      <c r="G182" s="58"/>
      <c r="H182" s="58"/>
      <c r="I182" s="59"/>
      <c r="J182" s="59"/>
      <c r="K182" s="59"/>
      <c r="L182" s="60"/>
      <c r="M182" s="60"/>
      <c r="N182" s="61"/>
      <c r="O182" s="61"/>
      <c r="P182" s="61"/>
      <c r="Q182" s="61"/>
      <c r="R182" s="61"/>
      <c r="S182" s="61"/>
      <c r="T182" s="62"/>
      <c r="U182" s="62"/>
    </row>
    <row r="183" spans="1:21" ht="16.5" x14ac:dyDescent="0.25">
      <c r="A183" s="55"/>
      <c r="B183" s="56"/>
      <c r="C183" s="56"/>
      <c r="D183" s="56"/>
      <c r="E183" s="57"/>
      <c r="F183" s="58"/>
      <c r="G183" s="58"/>
      <c r="H183" s="58"/>
      <c r="I183" s="59"/>
      <c r="J183" s="59"/>
      <c r="K183" s="59"/>
      <c r="L183" s="60"/>
      <c r="M183" s="60"/>
      <c r="N183" s="61"/>
      <c r="O183" s="61"/>
      <c r="P183" s="61"/>
      <c r="Q183" s="61"/>
      <c r="R183" s="61"/>
      <c r="S183" s="61"/>
      <c r="T183" s="62"/>
      <c r="U183" s="62"/>
    </row>
    <row r="184" spans="1:21" ht="16.5" x14ac:dyDescent="0.25">
      <c r="A184" s="55"/>
      <c r="B184" s="56"/>
      <c r="C184" s="56"/>
      <c r="D184" s="56"/>
      <c r="E184" s="57"/>
      <c r="F184" s="58"/>
      <c r="G184" s="58"/>
      <c r="H184" s="58"/>
      <c r="I184" s="59"/>
      <c r="J184" s="59"/>
      <c r="K184" s="59"/>
      <c r="L184" s="60"/>
      <c r="M184" s="60"/>
      <c r="N184" s="61"/>
      <c r="O184" s="61"/>
      <c r="P184" s="61"/>
      <c r="Q184" s="61"/>
      <c r="R184" s="61"/>
      <c r="S184" s="61"/>
      <c r="T184" s="62"/>
      <c r="U184" s="62"/>
    </row>
    <row r="185" spans="1:21" ht="16.5" x14ac:dyDescent="0.25">
      <c r="A185" s="55"/>
      <c r="B185" s="56"/>
      <c r="C185" s="56"/>
      <c r="D185" s="56"/>
      <c r="E185" s="57"/>
      <c r="F185" s="58"/>
      <c r="G185" s="58"/>
      <c r="H185" s="58"/>
      <c r="I185" s="59"/>
      <c r="J185" s="59"/>
      <c r="K185" s="59"/>
      <c r="L185" s="60"/>
      <c r="M185" s="60"/>
      <c r="N185" s="61"/>
      <c r="O185" s="61"/>
      <c r="P185" s="61"/>
      <c r="Q185" s="61"/>
      <c r="R185" s="61"/>
      <c r="S185" s="61"/>
      <c r="T185" s="62"/>
      <c r="U185" s="62"/>
    </row>
    <row r="186" spans="1:21" ht="16.5" x14ac:dyDescent="0.25">
      <c r="A186" s="55"/>
      <c r="B186" s="56"/>
      <c r="C186" s="56"/>
      <c r="D186" s="56"/>
      <c r="E186" s="57"/>
      <c r="F186" s="58"/>
      <c r="G186" s="58"/>
      <c r="H186" s="58"/>
      <c r="I186" s="59"/>
      <c r="J186" s="59"/>
      <c r="K186" s="59"/>
      <c r="L186" s="60"/>
      <c r="M186" s="60"/>
      <c r="N186" s="61"/>
      <c r="O186" s="61"/>
      <c r="P186" s="61"/>
      <c r="Q186" s="58"/>
      <c r="R186" s="61"/>
      <c r="S186" s="61"/>
      <c r="T186" s="62"/>
      <c r="U186" s="62"/>
    </row>
    <row r="187" spans="1:21" ht="16.5" x14ac:dyDescent="0.25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58"/>
      <c r="R187" s="82"/>
      <c r="S187" s="61"/>
      <c r="T187" s="62"/>
      <c r="U187" s="62"/>
    </row>
    <row r="188" spans="1:21" ht="16.5" x14ac:dyDescent="0.2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58"/>
      <c r="R188" s="61"/>
      <c r="S188" s="61"/>
      <c r="T188" s="62"/>
      <c r="U188" s="62"/>
    </row>
    <row r="189" spans="1:21" ht="16.5" x14ac:dyDescent="0.2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58"/>
      <c r="R189" s="61" t="s">
        <v>21</v>
      </c>
      <c r="S189" s="61"/>
      <c r="T189" s="62"/>
      <c r="U189" s="62"/>
    </row>
    <row r="190" spans="1:21" ht="16.5" x14ac:dyDescent="0.2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</row>
    <row r="191" spans="1:21" ht="16.5" x14ac:dyDescent="0.2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58"/>
      <c r="R191" s="61"/>
      <c r="S191" s="61"/>
      <c r="T191" s="62"/>
      <c r="U191" s="62"/>
    </row>
    <row r="192" spans="1:21" ht="16.5" x14ac:dyDescent="0.2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58"/>
      <c r="R192" s="61"/>
      <c r="S192" s="61"/>
      <c r="T192" s="62"/>
      <c r="U192" s="62"/>
    </row>
    <row r="193" spans="1:23" ht="16.5" x14ac:dyDescent="0.2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3" ht="16.5" x14ac:dyDescent="0.2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  <c r="W194" s="103"/>
    </row>
    <row r="195" spans="1:23" ht="16.5" x14ac:dyDescent="0.2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3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3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3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3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3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3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3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3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3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3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3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3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59"/>
      <c r="O208" s="61"/>
      <c r="P208" s="61"/>
      <c r="Q208" s="61"/>
      <c r="R208" s="61"/>
      <c r="S208" s="61"/>
      <c r="T208" s="62"/>
      <c r="U208" s="62"/>
    </row>
    <row r="209" spans="1:21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63"/>
      <c r="J277" s="63"/>
      <c r="K277" s="63"/>
      <c r="L277" s="60"/>
      <c r="M277" s="60"/>
      <c r="N277" s="64"/>
      <c r="O277" s="64"/>
      <c r="P277" s="64"/>
      <c r="Q277" s="64"/>
      <c r="R277" s="64"/>
      <c r="S277" s="64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63"/>
      <c r="J278" s="63"/>
      <c r="K278" s="63"/>
      <c r="L278" s="60"/>
      <c r="M278" s="60"/>
      <c r="N278" s="64"/>
      <c r="O278" s="64"/>
      <c r="P278" s="64"/>
      <c r="Q278" s="64"/>
      <c r="R278" s="64"/>
      <c r="S278" s="64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63"/>
      <c r="J279" s="63"/>
      <c r="K279" s="63"/>
      <c r="L279" s="60"/>
      <c r="M279" s="60"/>
      <c r="N279" s="64"/>
      <c r="O279" s="64"/>
      <c r="P279" s="64"/>
      <c r="Q279" s="64"/>
      <c r="R279" s="64"/>
      <c r="S279" s="64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63"/>
      <c r="J280" s="63"/>
      <c r="K280" s="63"/>
      <c r="L280" s="60"/>
      <c r="M280" s="60"/>
      <c r="N280" s="64"/>
      <c r="O280" s="64"/>
      <c r="P280" s="64"/>
      <c r="Q280" s="64"/>
      <c r="R280" s="64"/>
      <c r="S280" s="64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63"/>
      <c r="J281" s="63"/>
      <c r="K281" s="63"/>
      <c r="L281" s="60"/>
      <c r="M281" s="60"/>
      <c r="N281" s="64"/>
      <c r="O281" s="64"/>
      <c r="P281" s="64"/>
      <c r="Q281" s="64"/>
      <c r="R281" s="64"/>
      <c r="S281" s="64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63"/>
      <c r="J282" s="63"/>
      <c r="K282" s="63"/>
      <c r="L282" s="60"/>
      <c r="M282" s="60"/>
      <c r="N282" s="64"/>
      <c r="O282" s="64"/>
      <c r="P282" s="64"/>
      <c r="Q282" s="64"/>
      <c r="R282" s="64"/>
      <c r="S282" s="64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59"/>
      <c r="J305" s="59"/>
      <c r="K305" s="59"/>
      <c r="L305" s="60"/>
      <c r="M305" s="60"/>
      <c r="N305" s="61"/>
      <c r="O305" s="61"/>
      <c r="P305" s="61"/>
      <c r="Q305" s="61"/>
      <c r="R305" s="61"/>
      <c r="S305" s="61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59"/>
      <c r="J306" s="59"/>
      <c r="K306" s="59"/>
      <c r="L306" s="60"/>
      <c r="M306" s="60"/>
      <c r="N306" s="61"/>
      <c r="O306" s="61"/>
      <c r="P306" s="61"/>
      <c r="Q306" s="61"/>
      <c r="R306" s="61"/>
      <c r="S306" s="61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59"/>
      <c r="J307" s="59"/>
      <c r="K307" s="59"/>
      <c r="L307" s="60"/>
      <c r="M307" s="60"/>
      <c r="N307" s="61"/>
      <c r="O307" s="61"/>
      <c r="P307" s="61"/>
      <c r="Q307" s="61"/>
      <c r="R307" s="61"/>
      <c r="S307" s="61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59"/>
      <c r="J308" s="59"/>
      <c r="K308" s="59"/>
      <c r="L308" s="60"/>
      <c r="M308" s="60"/>
      <c r="N308" s="61"/>
      <c r="O308" s="61"/>
      <c r="P308" s="61"/>
      <c r="Q308" s="61"/>
      <c r="R308" s="61"/>
      <c r="S308" s="61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59"/>
      <c r="J309" s="59"/>
      <c r="K309" s="59"/>
      <c r="L309" s="60"/>
      <c r="M309" s="60"/>
      <c r="N309" s="61"/>
      <c r="O309" s="61"/>
      <c r="P309" s="61"/>
      <c r="Q309" s="61"/>
      <c r="R309" s="61"/>
      <c r="S309" s="61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59"/>
      <c r="J310" s="59"/>
      <c r="K310" s="59"/>
      <c r="L310" s="60"/>
      <c r="M310" s="60"/>
      <c r="N310" s="61"/>
      <c r="O310" s="61"/>
      <c r="P310" s="61"/>
      <c r="Q310" s="61"/>
      <c r="R310" s="61"/>
      <c r="S310" s="61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6.5" x14ac:dyDescent="0.2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6.5" x14ac:dyDescent="0.2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6.5" x14ac:dyDescent="0.2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6.5" x14ac:dyDescent="0.2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6.5" x14ac:dyDescent="0.2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</sheetData>
  <sheetProtection selectLockedCells="1"/>
  <phoneticPr fontId="1" type="noConversion"/>
  <conditionalFormatting sqref="S2:S5 S7:S179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10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79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79"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</conditionalFormatting>
  <conditionalFormatting sqref="T180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80:T410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79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80:U410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T7:T179</xm:sqref>
        </x14:conditionalFormatting>
        <x14:conditionalFormatting xmlns:xm="http://schemas.microsoft.com/office/excel/2006/main"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T8:T179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T180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T180:T410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U8:U179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U180:U410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8"/>
  <sheetViews>
    <sheetView zoomScale="85" zoomScaleNormal="85" workbookViewId="0">
      <selection activeCell="D30" sqref="D30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2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86</v>
      </c>
      <c r="D3" s="125">
        <f>帳戶!F4</f>
        <v>9462310</v>
      </c>
      <c r="E3" s="69">
        <f t="shared" ref="E3:E11" si="0">D3/$D$18</f>
        <v>0.37788756827372383</v>
      </c>
      <c r="F3" s="125">
        <f>帳戶!E4</f>
        <v>0</v>
      </c>
      <c r="G3" s="125">
        <v>9251450</v>
      </c>
      <c r="H3" s="94">
        <f t="shared" ref="H3:H4" si="1">D3-G3</f>
        <v>210860</v>
      </c>
      <c r="I3" s="92">
        <v>0</v>
      </c>
      <c r="J3" s="21">
        <f t="shared" ref="J3:J4" si="2">IFERROR(H3/G3,"n/a")</f>
        <v>2.2792102859551747E-2</v>
      </c>
      <c r="K3" s="29" t="s">
        <v>84</v>
      </c>
      <c r="L3" s="130"/>
      <c r="M3" s="130"/>
      <c r="N3" s="131"/>
      <c r="O3" s="98">
        <f t="shared" ref="O3" si="3">D3*0.1</f>
        <v>946231</v>
      </c>
    </row>
    <row r="4" spans="3:15" x14ac:dyDescent="0.25">
      <c r="C4" s="124" t="s">
        <v>89</v>
      </c>
      <c r="D4" s="125">
        <f>帳戶!F5</f>
        <v>8960900</v>
      </c>
      <c r="E4" s="69">
        <f t="shared" si="0"/>
        <v>0.35786321844708235</v>
      </c>
      <c r="F4" s="125">
        <f>帳戶!E5</f>
        <v>4475000</v>
      </c>
      <c r="G4" s="125">
        <v>8847900</v>
      </c>
      <c r="H4" s="94">
        <f t="shared" si="1"/>
        <v>113000</v>
      </c>
      <c r="I4" s="92">
        <v>4475000</v>
      </c>
      <c r="J4" s="21">
        <f t="shared" si="2"/>
        <v>1.277139208173691E-2</v>
      </c>
      <c r="K4" s="29" t="s">
        <v>91</v>
      </c>
      <c r="L4" s="130"/>
      <c r="M4" s="130"/>
      <c r="N4" s="131"/>
      <c r="O4" s="98">
        <f t="shared" ref="O4" si="4">D4*0.1</f>
        <v>896090</v>
      </c>
    </row>
    <row r="5" spans="3:15" x14ac:dyDescent="0.25">
      <c r="C5" s="124" t="s">
        <v>90</v>
      </c>
      <c r="D5" s="125">
        <f>帳戶!F10</f>
        <v>8687700</v>
      </c>
      <c r="E5" s="69">
        <f t="shared" si="0"/>
        <v>0.34695268141623242</v>
      </c>
      <c r="F5" s="125">
        <f>帳戶!E10</f>
        <v>4686000</v>
      </c>
      <c r="G5" s="125">
        <v>8063549.9999999991</v>
      </c>
      <c r="H5" s="94">
        <f>D5-G5</f>
        <v>624150.00000000093</v>
      </c>
      <c r="I5" s="92">
        <v>4260000</v>
      </c>
      <c r="J5" s="21">
        <f>IFERROR(H5/G5,"n/a")</f>
        <v>7.7403872983983601E-2</v>
      </c>
      <c r="K5" s="29" t="s">
        <v>91</v>
      </c>
      <c r="L5" s="130"/>
      <c r="M5" s="130"/>
      <c r="N5" s="131"/>
      <c r="O5" s="98">
        <f>D5*0.1</f>
        <v>868770</v>
      </c>
    </row>
    <row r="6" spans="3:15" x14ac:dyDescent="0.25">
      <c r="C6" s="124" t="s">
        <v>101</v>
      </c>
      <c r="D6" s="125">
        <f>帳戶!F7</f>
        <v>6505000</v>
      </c>
      <c r="E6" s="69">
        <f t="shared" si="0"/>
        <v>0.25978419980116624</v>
      </c>
      <c r="F6" s="125">
        <f>帳戶!E7</f>
        <v>3275000</v>
      </c>
      <c r="G6" s="125">
        <v>0</v>
      </c>
      <c r="H6" s="94">
        <f t="shared" ref="H6" si="5">D6-G6</f>
        <v>6505000</v>
      </c>
      <c r="I6" s="92">
        <v>0</v>
      </c>
      <c r="J6" s="21" t="str">
        <f t="shared" ref="J6" si="6">IFERROR(H6/G6,"n/a")</f>
        <v>n/a</v>
      </c>
      <c r="K6" s="29" t="s">
        <v>102</v>
      </c>
      <c r="L6" s="130"/>
      <c r="M6" s="130"/>
      <c r="N6" s="131"/>
      <c r="O6" s="98">
        <f>D6*0.1</f>
        <v>650500</v>
      </c>
    </row>
    <row r="7" spans="3:15" x14ac:dyDescent="0.25">
      <c r="C7" s="124" t="s">
        <v>93</v>
      </c>
      <c r="D7" s="125">
        <f>帳戶!F9</f>
        <v>2666440</v>
      </c>
      <c r="E7" s="69">
        <f t="shared" si="0"/>
        <v>0.10648716090973431</v>
      </c>
      <c r="F7" s="125">
        <f>帳戶!E9</f>
        <v>0</v>
      </c>
      <c r="G7" s="125">
        <v>2697590</v>
      </c>
      <c r="H7" s="94">
        <f t="shared" ref="H7" si="7">D7-G7</f>
        <v>-31150</v>
      </c>
      <c r="I7" s="92">
        <v>0</v>
      </c>
      <c r="J7" s="21">
        <f t="shared" ref="J7" si="8">IFERROR(H7/G7,"n/a")</f>
        <v>-1.1547344110854504E-2</v>
      </c>
      <c r="K7" s="29" t="s">
        <v>91</v>
      </c>
      <c r="L7" s="130"/>
      <c r="M7" s="130"/>
      <c r="N7" s="131"/>
      <c r="O7" s="98">
        <f>D7*0.1</f>
        <v>266644</v>
      </c>
    </row>
    <row r="8" spans="3:15" x14ac:dyDescent="0.25">
      <c r="C8" s="124" t="s">
        <v>99</v>
      </c>
      <c r="D8" s="125">
        <f>帳戶!F8</f>
        <v>1935000</v>
      </c>
      <c r="E8" s="69">
        <f t="shared" si="0"/>
        <v>7.7276314621868819E-2</v>
      </c>
      <c r="F8" s="125">
        <f>帳戶!E8</f>
        <v>1149000</v>
      </c>
      <c r="G8" s="125">
        <v>957000</v>
      </c>
      <c r="H8" s="94">
        <f>D8-G8</f>
        <v>978000</v>
      </c>
      <c r="I8" s="92">
        <v>573000</v>
      </c>
      <c r="J8" s="21">
        <f>IFERROR(H8/G8,"n/a")</f>
        <v>1.0219435736677116</v>
      </c>
      <c r="K8" s="29" t="s">
        <v>94</v>
      </c>
      <c r="L8" s="130"/>
      <c r="M8" s="130"/>
      <c r="N8" s="131"/>
      <c r="O8" s="98">
        <f>D8*0.1</f>
        <v>193500</v>
      </c>
    </row>
    <row r="9" spans="3:15" x14ac:dyDescent="0.25">
      <c r="C9" s="124" t="s">
        <v>97</v>
      </c>
      <c r="D9" s="125">
        <f>帳戶!F6</f>
        <v>0</v>
      </c>
      <c r="E9" s="69">
        <f t="shared" si="0"/>
        <v>0</v>
      </c>
      <c r="F9" s="125">
        <v>0</v>
      </c>
      <c r="G9" s="125">
        <v>1338444</v>
      </c>
      <c r="H9" s="94">
        <f>D9-G9</f>
        <v>-1338444</v>
      </c>
      <c r="I9" s="92">
        <v>0</v>
      </c>
      <c r="J9" s="21">
        <f>IFERROR(H9/G9,"n/a")</f>
        <v>-1</v>
      </c>
      <c r="K9" s="29" t="s">
        <v>95</v>
      </c>
      <c r="L9" s="130"/>
      <c r="M9" s="130"/>
      <c r="N9" s="131"/>
      <c r="O9" s="98">
        <f t="shared" ref="O9" si="9">D9*0.1</f>
        <v>0</v>
      </c>
    </row>
    <row r="10" spans="3:15" ht="17.25" thickBot="1" x14ac:dyDescent="0.3">
      <c r="C10" s="18" t="s">
        <v>30</v>
      </c>
      <c r="D10" s="90">
        <f>SUM(D3:D9)</f>
        <v>38217350</v>
      </c>
      <c r="E10" s="118">
        <f t="shared" si="0"/>
        <v>1.5262511434698081</v>
      </c>
      <c r="F10" s="90">
        <f>SUM(F3:F9)</f>
        <v>13585000</v>
      </c>
      <c r="G10" s="90">
        <f>SUM(G3:G9)</f>
        <v>31155934</v>
      </c>
      <c r="H10" s="90">
        <f>SUM(H3:H9)</f>
        <v>7061416</v>
      </c>
      <c r="I10" s="90">
        <f>SUM(I3:I9)</f>
        <v>9308000</v>
      </c>
      <c r="J10" s="86">
        <f t="shared" ref="J10:J12" si="10">IFERROR(H10/G10,"n/a")</f>
        <v>0.22664754649948868</v>
      </c>
      <c r="K10" s="86"/>
      <c r="L10" s="86"/>
      <c r="M10" s="86"/>
      <c r="N10" s="86"/>
      <c r="O10" s="126">
        <f>SUM(O3:O9)</f>
        <v>3821735</v>
      </c>
    </row>
    <row r="11" spans="3:15" ht="16.5" customHeight="1" x14ac:dyDescent="0.25">
      <c r="C11" s="87"/>
      <c r="D11" s="104">
        <v>0</v>
      </c>
      <c r="E11" s="106">
        <f t="shared" si="0"/>
        <v>0</v>
      </c>
      <c r="F11" s="88">
        <v>0</v>
      </c>
      <c r="G11" s="104">
        <v>0</v>
      </c>
      <c r="H11" s="96">
        <f>D11-G11</f>
        <v>0</v>
      </c>
      <c r="I11" s="88">
        <v>0</v>
      </c>
      <c r="J11" s="89" t="str">
        <f t="shared" si="10"/>
        <v>n/a</v>
      </c>
      <c r="K11" s="107"/>
      <c r="L11" s="107"/>
      <c r="M11" s="107"/>
      <c r="N11" s="107"/>
      <c r="O11" s="100">
        <f>D11*0.1</f>
        <v>0</v>
      </c>
    </row>
    <row r="12" spans="3:15" ht="17.25" thickBot="1" x14ac:dyDescent="0.3">
      <c r="C12" s="18" t="s">
        <v>30</v>
      </c>
      <c r="D12" s="90">
        <f>SUM(D11:D11)</f>
        <v>0</v>
      </c>
      <c r="E12" s="90"/>
      <c r="F12" s="20"/>
      <c r="G12" s="90">
        <f>SUM(G11:G11)</f>
        <v>0</v>
      </c>
      <c r="H12" s="95">
        <f>D12-G12</f>
        <v>0</v>
      </c>
      <c r="I12" s="19"/>
      <c r="J12" s="86" t="str">
        <f t="shared" si="10"/>
        <v>n/a</v>
      </c>
      <c r="K12" s="86"/>
      <c r="L12" s="86"/>
      <c r="M12" s="86"/>
      <c r="N12" s="86"/>
      <c r="O12" s="99">
        <f>SUM(0)</f>
        <v>0</v>
      </c>
    </row>
    <row r="13" spans="3:15" x14ac:dyDescent="0.25">
      <c r="C13" s="108" t="s">
        <v>31</v>
      </c>
      <c r="D13" s="109">
        <f ca="1">D13-帳戶!F13</f>
        <v>0</v>
      </c>
      <c r="E13" s="109"/>
      <c r="F13" s="110"/>
      <c r="G13" s="109">
        <v>0</v>
      </c>
      <c r="H13" s="111"/>
      <c r="I13" s="109"/>
      <c r="J13" s="110"/>
      <c r="K13" s="110"/>
      <c r="L13" s="110"/>
      <c r="M13" s="110"/>
      <c r="N13" s="110"/>
      <c r="O13" s="112"/>
    </row>
    <row r="14" spans="3:15" x14ac:dyDescent="0.25">
      <c r="C14" s="71" t="s">
        <v>32</v>
      </c>
      <c r="D14" s="91">
        <f>帳戶!C19</f>
        <v>407664</v>
      </c>
      <c r="E14" s="69">
        <f>D14/$D$18</f>
        <v>1.6280502079591488E-2</v>
      </c>
      <c r="F14" s="69"/>
      <c r="G14" s="91">
        <v>3071646</v>
      </c>
      <c r="H14" s="94">
        <f>D14-G14</f>
        <v>-2663982</v>
      </c>
      <c r="I14" s="22"/>
      <c r="J14" s="70">
        <f>H14/G14</f>
        <v>-0.86728158127596733</v>
      </c>
      <c r="K14" s="29" t="s">
        <v>32</v>
      </c>
      <c r="L14" s="29"/>
      <c r="M14" s="29"/>
      <c r="N14" s="29"/>
      <c r="O14" s="98"/>
    </row>
    <row r="15" spans="3:15" x14ac:dyDescent="0.25">
      <c r="C15" s="71" t="s">
        <v>68</v>
      </c>
      <c r="D15" s="91">
        <f>期貨!C4</f>
        <v>0</v>
      </c>
      <c r="E15" s="69">
        <f>D15/$D$18</f>
        <v>0</v>
      </c>
      <c r="F15" s="69"/>
      <c r="G15" s="91">
        <v>0</v>
      </c>
      <c r="H15" s="94">
        <f>D15-G15</f>
        <v>0</v>
      </c>
      <c r="I15" s="22"/>
      <c r="J15" s="70" t="e">
        <f>H15/G15</f>
        <v>#DIV/0!</v>
      </c>
      <c r="K15" s="29"/>
      <c r="L15" s="29"/>
      <c r="M15" s="29"/>
      <c r="N15" s="29"/>
      <c r="O15" s="98"/>
    </row>
    <row r="16" spans="3:15" x14ac:dyDescent="0.25">
      <c r="C16" s="71" t="s">
        <v>52</v>
      </c>
      <c r="D16" s="91">
        <f>帳戶!C20</f>
        <v>0</v>
      </c>
      <c r="E16" s="69">
        <f>D16/$D$18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 t="s">
        <v>34</v>
      </c>
      <c r="L16" s="29"/>
      <c r="M16" s="29"/>
      <c r="N16" s="29"/>
      <c r="O16" s="98"/>
    </row>
    <row r="17" spans="2:15" ht="17.25" thickBot="1" x14ac:dyDescent="0.3">
      <c r="C17" s="113" t="s">
        <v>31</v>
      </c>
      <c r="D17" s="114">
        <f>D10+D14-F10-帳戶!F22+D16</f>
        <v>0</v>
      </c>
      <c r="E17" s="114"/>
      <c r="F17" s="115"/>
      <c r="G17" s="114">
        <v>0</v>
      </c>
      <c r="H17" s="116"/>
      <c r="I17" s="114"/>
      <c r="J17" s="115"/>
      <c r="K17" s="115"/>
      <c r="L17" s="115"/>
      <c r="M17" s="115"/>
      <c r="N17" s="115"/>
      <c r="O17" s="117"/>
    </row>
    <row r="18" spans="2:15" ht="17.25" thickBot="1" x14ac:dyDescent="0.3">
      <c r="C18" s="18" t="s">
        <v>30</v>
      </c>
      <c r="D18" s="90">
        <f>D10+D14-F10+D16+D15</f>
        <v>25040014</v>
      </c>
      <c r="E18" s="118">
        <f>D18/$D$18</f>
        <v>1</v>
      </c>
      <c r="F18" s="20"/>
      <c r="G18" s="90">
        <f>G10+G14-I10+G16+G15</f>
        <v>24919580</v>
      </c>
      <c r="H18" s="95">
        <f t="shared" ref="H18" si="11">D18-G18</f>
        <v>120434</v>
      </c>
      <c r="I18" s="19"/>
      <c r="J18" s="20">
        <f>H18/G18</f>
        <v>4.8329064936086406E-3</v>
      </c>
      <c r="K18" s="20"/>
      <c r="L18" s="20"/>
      <c r="M18" s="20"/>
      <c r="N18" s="20"/>
      <c r="O18" s="99"/>
    </row>
    <row r="19" spans="2:15" x14ac:dyDescent="0.25">
      <c r="C19" s="119" t="s">
        <v>35</v>
      </c>
      <c r="D19" s="120">
        <v>24919580</v>
      </c>
      <c r="E19" s="23"/>
      <c r="G19" s="23"/>
      <c r="I19" s="26"/>
      <c r="O19" s="97"/>
    </row>
    <row r="20" spans="2:15" ht="18.75" customHeight="1" x14ac:dyDescent="0.25">
      <c r="C20" s="11" t="s">
        <v>36</v>
      </c>
      <c r="D20" s="93">
        <f>D18-D19</f>
        <v>120434</v>
      </c>
      <c r="E20" s="105"/>
      <c r="F20" s="24"/>
      <c r="G20" s="23"/>
      <c r="H20" s="23"/>
      <c r="K20" s="24"/>
      <c r="L20" s="24"/>
      <c r="M20" s="24"/>
      <c r="N20" s="24"/>
      <c r="O20" s="97"/>
    </row>
    <row r="21" spans="2:15" ht="17.25" thickBot="1" x14ac:dyDescent="0.3">
      <c r="C21" s="12" t="s">
        <v>37</v>
      </c>
      <c r="D21" s="13">
        <f>D20/D19</f>
        <v>4.8329064936086406E-3</v>
      </c>
      <c r="E21" s="23"/>
      <c r="F21" s="24"/>
      <c r="G21" s="23"/>
      <c r="H21" s="24"/>
      <c r="O21" s="97"/>
    </row>
    <row r="22" spans="2:15" x14ac:dyDescent="0.25">
      <c r="D22" s="31"/>
      <c r="E22" s="31"/>
      <c r="F22" s="30"/>
      <c r="G22" s="81"/>
      <c r="H22" s="81"/>
      <c r="I22" s="17"/>
      <c r="J22" s="17"/>
      <c r="K22" s="17"/>
      <c r="L22" s="17"/>
      <c r="M22" s="17"/>
      <c r="N22" s="17"/>
    </row>
    <row r="23" spans="2:15" x14ac:dyDescent="0.25">
      <c r="D23" s="25"/>
      <c r="E23" s="25"/>
    </row>
    <row r="25" spans="2:15" ht="17.25" customHeight="1" x14ac:dyDescent="0.25"/>
    <row r="27" spans="2:15" x14ac:dyDescent="0.25">
      <c r="G27" t="s">
        <v>21</v>
      </c>
    </row>
    <row r="28" spans="2:15" x14ac:dyDescent="0.25">
      <c r="B28" t="s">
        <v>53</v>
      </c>
    </row>
  </sheetData>
  <phoneticPr fontId="1" type="noConversion"/>
  <conditionalFormatting sqref="D2"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  <cfRule type="dataBar" priority="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</conditionalFormatting>
  <conditionalFormatting sqref="E3:E12">
    <cfRule type="dataBar" priority="1479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79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79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79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79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79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79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79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79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79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79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79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79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79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79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79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79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79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79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79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79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79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79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79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79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</conditionalFormatting>
  <conditionalFormatting sqref="E3:E13">
    <cfRule type="dataBar" priority="1479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8">
    <cfRule type="dataBar" priority="1479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0">
    <cfRule type="dataBar" priority="1479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{6222E11B-750B-4DF4-8F2A-B49A0F407570}</x14:id>
        </ext>
      </extLst>
    </cfRule>
  </conditionalFormatting>
  <conditionalFormatting sqref="E3:E21">
    <cfRule type="dataBar" priority="1479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{3B06CF53-F3EF-45E9-9716-27000C77A8AC}</x14:id>
        </ext>
      </extLst>
    </cfRule>
  </conditionalFormatting>
  <conditionalFormatting sqref="E13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</conditionalFormatting>
  <conditionalFormatting sqref="E14"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</conditionalFormatting>
  <conditionalFormatting sqref="E17:E19"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</conditionalFormatting>
  <conditionalFormatting sqref="E21"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</conditionalFormatting>
  <conditionalFormatting sqref="F2 F21 F17:F18">
    <cfRule type="dataBar" priority="1386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5:F20">
    <cfRule type="dataBar" priority="140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</conditionalFormatting>
  <conditionalFormatting sqref="F15:F21 F2">
    <cfRule type="dataBar" priority="140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5:F21">
    <cfRule type="dataBar" priority="140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7:F18 F21">
    <cfRule type="dataBar" priority="1386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7:F18">
    <cfRule type="dataBar" priority="140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</conditionalFormatting>
  <conditionalFormatting sqref="F17:F19 F21">
    <cfRule type="dataBar" priority="1387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7:F19">
    <cfRule type="dataBar" priority="140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19"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</conditionalFormatting>
  <conditionalFormatting sqref="F21"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</conditionalFormatting>
  <conditionalFormatting sqref="I2">
    <cfRule type="dataBar" priority="7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E3:E12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E3:E18</xm:sqref>
        </x14:conditionalFormatting>
        <x14:conditionalFormatting xmlns:xm="http://schemas.microsoft.com/office/excel/2006/main">
          <x14:cfRule type="dataBar" id="{6222E11B-750B-4DF4-8F2A-B49A0F4075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  <x14:conditionalFormatting xmlns:xm="http://schemas.microsoft.com/office/excel/2006/main">
          <x14:cfRule type="dataBar" id="{3B06CF53-F3EF-45E9-9716-27000C77A8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E13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E17:E19</xm:sqref>
        </x14:conditionalFormatting>
        <x14:conditionalFormatting xmlns:xm="http://schemas.microsoft.com/office/excel/2006/main"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E21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F21 F17:F18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F15:F20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F15:F21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F15:F21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F17:F18 F21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F17:F18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F17:F19 F21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F17:F19</xm:sqref>
        </x14:conditionalFormatting>
        <x14:conditionalFormatting xmlns:xm="http://schemas.microsoft.com/office/excel/2006/main"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</xm:sqref>
        </x14:conditionalFormatting>
        <x14:conditionalFormatting xmlns:xm="http://schemas.microsoft.com/office/excel/2006/main"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5"/>
  <sheetViews>
    <sheetView zoomScaleNormal="100" workbookViewId="0">
      <selection activeCell="F28" sqref="F28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55990</v>
      </c>
      <c r="D4" s="3">
        <f>VLOOKUP(B4,'[1]元大(自己)'!$B$4:$D$11,3,0)</f>
        <v>169</v>
      </c>
      <c r="E4" s="2">
        <v>0</v>
      </c>
      <c r="F4" s="2">
        <f t="shared" ref="F4" si="0">C4*D4</f>
        <v>9462310</v>
      </c>
    </row>
    <row r="5" spans="2:6" x14ac:dyDescent="0.25">
      <c r="B5" s="7" t="s">
        <v>87</v>
      </c>
      <c r="C5" s="2">
        <v>226000</v>
      </c>
      <c r="D5" s="3">
        <f>VLOOKUP(B5,'[1]元大(自己)'!$B$4:$D$11,3,0)</f>
        <v>39.65</v>
      </c>
      <c r="E5" s="2">
        <f>2413000+745000+1317000</f>
        <v>4475000</v>
      </c>
      <c r="F5" s="2">
        <f t="shared" ref="F5:F10" si="1">C5*D5</f>
        <v>8960900</v>
      </c>
    </row>
    <row r="6" spans="2:6" x14ac:dyDescent="0.25">
      <c r="B6" s="7" t="s">
        <v>96</v>
      </c>
      <c r="C6" s="2">
        <v>0</v>
      </c>
      <c r="D6" s="3">
        <f>VLOOKUP(B6,'[1]元大(自己)'!$B$4:$D$11,3,0)</f>
        <v>600</v>
      </c>
      <c r="E6" s="2">
        <v>0</v>
      </c>
      <c r="F6" s="2">
        <f t="shared" ref="F6:F8" si="2">C6*D6</f>
        <v>0</v>
      </c>
    </row>
    <row r="7" spans="2:6" x14ac:dyDescent="0.25">
      <c r="B7" s="7" t="s">
        <v>100</v>
      </c>
      <c r="C7" s="2">
        <v>1000</v>
      </c>
      <c r="D7" s="3">
        <f>VLOOKUP(B7,'[1]元大(自己)'!$B$4:$D$11,3,0)</f>
        <v>6505</v>
      </c>
      <c r="E7" s="2">
        <v>3275000</v>
      </c>
      <c r="F7" s="2">
        <f t="shared" ref="F7" si="3">C7*D7</f>
        <v>6505000</v>
      </c>
    </row>
    <row r="8" spans="2:6" x14ac:dyDescent="0.25">
      <c r="B8" s="7" t="s">
        <v>98</v>
      </c>
      <c r="C8" s="2">
        <v>6000</v>
      </c>
      <c r="D8" s="3">
        <f>VLOOKUP(B8,'[1]元大(自己)'!$B$4:$D$11,3,0)</f>
        <v>322.5</v>
      </c>
      <c r="E8" s="2">
        <v>1149000</v>
      </c>
      <c r="F8" s="2">
        <f t="shared" si="2"/>
        <v>1935000</v>
      </c>
    </row>
    <row r="9" spans="2:6" x14ac:dyDescent="0.25">
      <c r="B9" s="7" t="s">
        <v>92</v>
      </c>
      <c r="C9" s="2">
        <v>1246</v>
      </c>
      <c r="D9" s="3">
        <f>VLOOKUP(B9,'[1]元大(自己)'!$B$4:$D$11,3,0)</f>
        <v>2140</v>
      </c>
      <c r="E9" s="2">
        <v>0</v>
      </c>
      <c r="F9" s="2">
        <f t="shared" si="1"/>
        <v>2666440</v>
      </c>
    </row>
    <row r="10" spans="2:6" x14ac:dyDescent="0.25">
      <c r="B10" s="7" t="s">
        <v>88</v>
      </c>
      <c r="C10" s="2">
        <v>197000</v>
      </c>
      <c r="D10" s="3">
        <f>VLOOKUP(B10,'[1]元大(自己)'!$B$4:$D$11,3,0)</f>
        <v>44.1</v>
      </c>
      <c r="E10" s="2">
        <f>2408000+489000+831000+346000+186000+426000</f>
        <v>4686000</v>
      </c>
      <c r="F10" s="2">
        <f t="shared" si="1"/>
        <v>8687700</v>
      </c>
    </row>
    <row r="11" spans="2:6" x14ac:dyDescent="0.25">
      <c r="B11" s="7"/>
      <c r="C11" s="2"/>
      <c r="D11" s="32"/>
      <c r="E11" s="3"/>
      <c r="F11" s="3"/>
    </row>
    <row r="12" spans="2:6" x14ac:dyDescent="0.25">
      <c r="C12" s="85"/>
    </row>
    <row r="13" spans="2:6" x14ac:dyDescent="0.25">
      <c r="D13" s="4" t="s">
        <v>57</v>
      </c>
      <c r="E13" s="9">
        <f>SUM(E4:E10)</f>
        <v>13585000</v>
      </c>
      <c r="F13" s="9">
        <f>SUM(F4:F10)</f>
        <v>38217350</v>
      </c>
    </row>
    <row r="14" spans="2:6" ht="17.25" thickBot="1" x14ac:dyDescent="0.3"/>
    <row r="15" spans="2:6" x14ac:dyDescent="0.25">
      <c r="B15" s="138" t="s">
        <v>32</v>
      </c>
      <c r="C15" s="139"/>
      <c r="D15" s="5"/>
      <c r="E15" s="5"/>
      <c r="F15" s="5"/>
    </row>
    <row r="16" spans="2:6" x14ac:dyDescent="0.25">
      <c r="B16" s="72" t="s">
        <v>43</v>
      </c>
      <c r="C16" s="8">
        <v>529</v>
      </c>
      <c r="E16" s="132">
        <v>31.9</v>
      </c>
      <c r="F16" s="5"/>
    </row>
    <row r="17" spans="2:13" x14ac:dyDescent="0.25">
      <c r="B17" s="72" t="s">
        <v>44</v>
      </c>
      <c r="C17" s="8">
        <v>3071117</v>
      </c>
      <c r="E17" s="5"/>
      <c r="F17" s="5"/>
    </row>
    <row r="18" spans="2:13" x14ac:dyDescent="0.25">
      <c r="B18" s="72" t="s">
        <v>45</v>
      </c>
      <c r="C18" s="8">
        <v>-2663982</v>
      </c>
      <c r="E18" s="5"/>
      <c r="F18" s="5"/>
    </row>
    <row r="19" spans="2:13" ht="17.25" thickBot="1" x14ac:dyDescent="0.3">
      <c r="B19" s="73" t="s">
        <v>46</v>
      </c>
      <c r="C19" s="74">
        <f>SUM(C16:C18)</f>
        <v>407664</v>
      </c>
      <c r="F19" s="129">
        <f>F22+期貨!C4</f>
        <v>25040014</v>
      </c>
    </row>
    <row r="20" spans="2:13" ht="17.25" thickBot="1" x14ac:dyDescent="0.3">
      <c r="B20" s="75" t="s">
        <v>33</v>
      </c>
      <c r="C20" s="76">
        <v>0</v>
      </c>
      <c r="F20" s="23"/>
    </row>
    <row r="22" spans="2:13" x14ac:dyDescent="0.25">
      <c r="D22" s="6" t="s">
        <v>47</v>
      </c>
      <c r="E22" s="6"/>
      <c r="F22" s="10">
        <f>F13+C19+C20-E13</f>
        <v>25040014</v>
      </c>
    </row>
    <row r="24" spans="2:13" x14ac:dyDescent="0.25">
      <c r="F24" s="129"/>
    </row>
    <row r="25" spans="2:13" x14ac:dyDescent="0.25">
      <c r="F25" s="23"/>
    </row>
    <row r="26" spans="2:13" x14ac:dyDescent="0.25">
      <c r="D26" s="121">
        <f>SUM(D27:D42)</f>
        <v>0.99969000000000019</v>
      </c>
      <c r="H26" s="23">
        <f>(F22+期貨!C4)*0.67</f>
        <v>16776809.380000001</v>
      </c>
      <c r="K26" t="s">
        <v>60</v>
      </c>
      <c r="L26" t="s">
        <v>61</v>
      </c>
      <c r="M26" t="s">
        <v>62</v>
      </c>
    </row>
    <row r="27" spans="2:13" x14ac:dyDescent="0.25">
      <c r="B27">
        <v>8299</v>
      </c>
      <c r="C27" t="s">
        <v>69</v>
      </c>
      <c r="D27" s="122">
        <v>0.2127</v>
      </c>
      <c r="F27" s="122">
        <v>0.2127</v>
      </c>
      <c r="G27">
        <v>2670</v>
      </c>
      <c r="H27" s="123">
        <f>$H$26*F27/G27</f>
        <v>1336.4896461146068</v>
      </c>
      <c r="I27">
        <v>1.3</v>
      </c>
      <c r="J27">
        <f>I27*G27</f>
        <v>3471</v>
      </c>
      <c r="K27">
        <v>1.3</v>
      </c>
      <c r="L27">
        <v>0</v>
      </c>
      <c r="M27">
        <v>0</v>
      </c>
    </row>
    <row r="28" spans="2:13" x14ac:dyDescent="0.25">
      <c r="B28">
        <v>2451</v>
      </c>
      <c r="C28" t="s">
        <v>70</v>
      </c>
      <c r="D28" s="122">
        <v>8.5079999999999989E-2</v>
      </c>
      <c r="F28" s="122">
        <v>8.5079999999999989E-2</v>
      </c>
      <c r="G28">
        <v>343.5</v>
      </c>
      <c r="H28" s="123">
        <f t="shared" ref="H28:H42" si="4">$H$26*F28/G28</f>
        <v>4155.3739215441046</v>
      </c>
      <c r="I28">
        <v>4</v>
      </c>
      <c r="J28">
        <f t="shared" ref="J28:J42" si="5">I28*G28</f>
        <v>1374</v>
      </c>
      <c r="K28">
        <v>4</v>
      </c>
      <c r="L28">
        <v>0</v>
      </c>
      <c r="M28">
        <v>0</v>
      </c>
    </row>
    <row r="29" spans="2:13" x14ac:dyDescent="0.25">
      <c r="B29">
        <v>5289</v>
      </c>
      <c r="C29" t="s">
        <v>63</v>
      </c>
      <c r="D29" s="122">
        <v>8.5079999999999989E-2</v>
      </c>
      <c r="F29" s="122">
        <v>8.5079999999999989E-2</v>
      </c>
      <c r="G29">
        <v>1760</v>
      </c>
      <c r="H29" s="123">
        <f t="shared" si="4"/>
        <v>811.00621707409084</v>
      </c>
      <c r="I29">
        <v>1</v>
      </c>
      <c r="J29">
        <f t="shared" si="5"/>
        <v>1760</v>
      </c>
      <c r="K29">
        <v>1</v>
      </c>
      <c r="L29">
        <v>0</v>
      </c>
      <c r="M29">
        <v>0</v>
      </c>
    </row>
    <row r="30" spans="2:13" x14ac:dyDescent="0.25">
      <c r="B30">
        <v>3135</v>
      </c>
      <c r="C30" t="s">
        <v>71</v>
      </c>
      <c r="D30" s="122">
        <v>4.2539999999999994E-2</v>
      </c>
      <c r="F30" s="122">
        <v>4.2539999999999994E-2</v>
      </c>
      <c r="G30">
        <v>194.5</v>
      </c>
      <c r="H30" s="123">
        <f t="shared" si="4"/>
        <v>3669.3340412606681</v>
      </c>
      <c r="I30">
        <v>4</v>
      </c>
      <c r="J30">
        <f t="shared" si="5"/>
        <v>778</v>
      </c>
      <c r="K30">
        <v>4</v>
      </c>
      <c r="L30">
        <v>0</v>
      </c>
      <c r="M30">
        <v>0</v>
      </c>
    </row>
    <row r="31" spans="2:13" x14ac:dyDescent="0.25">
      <c r="B31">
        <v>8271</v>
      </c>
      <c r="C31" t="s">
        <v>72</v>
      </c>
      <c r="D31" s="122">
        <v>4.2539999999999994E-2</v>
      </c>
      <c r="F31" s="122">
        <v>4.2539999999999994E-2</v>
      </c>
      <c r="G31">
        <v>256</v>
      </c>
      <c r="H31" s="123">
        <f t="shared" si="4"/>
        <v>2787.8338711921874</v>
      </c>
      <c r="I31">
        <v>3</v>
      </c>
      <c r="J31">
        <f t="shared" si="5"/>
        <v>768</v>
      </c>
      <c r="K31">
        <v>3</v>
      </c>
      <c r="L31">
        <v>0</v>
      </c>
      <c r="M31">
        <v>0</v>
      </c>
    </row>
    <row r="32" spans="2:13" x14ac:dyDescent="0.25">
      <c r="B32">
        <v>3036</v>
      </c>
      <c r="C32" t="s">
        <v>73</v>
      </c>
      <c r="D32" s="122">
        <v>8.5079999999999989E-2</v>
      </c>
      <c r="F32" s="122">
        <v>8.5079999999999989E-2</v>
      </c>
      <c r="G32">
        <v>264.5</v>
      </c>
      <c r="H32" s="123">
        <f t="shared" si="4"/>
        <v>5396.487493574291</v>
      </c>
      <c r="I32">
        <v>5</v>
      </c>
      <c r="J32">
        <f t="shared" si="5"/>
        <v>1322.5</v>
      </c>
      <c r="K32">
        <v>5</v>
      </c>
      <c r="L32">
        <v>0</v>
      </c>
      <c r="M32">
        <v>0</v>
      </c>
    </row>
    <row r="33" spans="2:13" x14ac:dyDescent="0.25">
      <c r="B33">
        <v>2059</v>
      </c>
      <c r="C33" t="s">
        <v>74</v>
      </c>
      <c r="D33" s="122">
        <v>8.5079999999999989E-2</v>
      </c>
      <c r="F33" s="122">
        <v>8.5079999999999989E-2</v>
      </c>
      <c r="G33">
        <v>5520</v>
      </c>
      <c r="H33" s="123">
        <f t="shared" si="4"/>
        <v>258.58169240043475</v>
      </c>
      <c r="I33">
        <v>0.3</v>
      </c>
      <c r="J33">
        <f t="shared" si="5"/>
        <v>1656</v>
      </c>
      <c r="K33">
        <v>0.3</v>
      </c>
      <c r="L33">
        <v>0</v>
      </c>
      <c r="M33">
        <v>0</v>
      </c>
    </row>
    <row r="34" spans="2:13" x14ac:dyDescent="0.25">
      <c r="B34">
        <v>3055</v>
      </c>
      <c r="C34" t="s">
        <v>75</v>
      </c>
      <c r="D34" s="122">
        <v>2.1269999999999997E-2</v>
      </c>
      <c r="F34" s="122">
        <v>2.1269999999999997E-2</v>
      </c>
      <c r="G34">
        <v>100</v>
      </c>
      <c r="H34" s="123">
        <f t="shared" si="4"/>
        <v>3568.4273551259998</v>
      </c>
      <c r="I34">
        <v>4</v>
      </c>
      <c r="J34">
        <f t="shared" si="5"/>
        <v>400</v>
      </c>
      <c r="K34">
        <v>4</v>
      </c>
      <c r="L34">
        <v>0</v>
      </c>
      <c r="M34">
        <v>0</v>
      </c>
    </row>
    <row r="35" spans="2:13" x14ac:dyDescent="0.25">
      <c r="B35">
        <v>3209</v>
      </c>
      <c r="C35" t="s">
        <v>76</v>
      </c>
      <c r="D35" s="122">
        <v>2.1269999999999997E-2</v>
      </c>
      <c r="E35" s="121"/>
      <c r="F35" s="122">
        <v>2.1269999999999997E-2</v>
      </c>
      <c r="G35">
        <v>60.5</v>
      </c>
      <c r="H35" s="123">
        <f t="shared" si="4"/>
        <v>5898.2270332661155</v>
      </c>
      <c r="I35">
        <v>6</v>
      </c>
      <c r="J35">
        <f t="shared" si="5"/>
        <v>363</v>
      </c>
      <c r="K35">
        <v>6</v>
      </c>
      <c r="L35">
        <v>0</v>
      </c>
      <c r="M35">
        <v>0</v>
      </c>
    </row>
    <row r="36" spans="2:13" x14ac:dyDescent="0.25">
      <c r="B36">
        <v>4973</v>
      </c>
      <c r="C36" t="s">
        <v>77</v>
      </c>
      <c r="D36" s="122">
        <v>2.1269999999999997E-2</v>
      </c>
      <c r="E36" s="121"/>
      <c r="F36" s="122">
        <v>2.1269999999999997E-2</v>
      </c>
      <c r="G36">
        <v>109.5</v>
      </c>
      <c r="H36" s="123">
        <f t="shared" si="4"/>
        <v>3258.8377672383563</v>
      </c>
      <c r="I36">
        <v>3</v>
      </c>
      <c r="J36">
        <f t="shared" si="5"/>
        <v>328.5</v>
      </c>
      <c r="K36">
        <v>3</v>
      </c>
      <c r="L36">
        <v>0</v>
      </c>
      <c r="M36">
        <v>0</v>
      </c>
    </row>
    <row r="37" spans="2:13" x14ac:dyDescent="0.25">
      <c r="B37">
        <v>6166</v>
      </c>
      <c r="C37" t="s">
        <v>78</v>
      </c>
      <c r="D37" s="122">
        <v>4.2539999999999994E-2</v>
      </c>
      <c r="E37" s="121"/>
      <c r="F37" s="122">
        <v>4.2539999999999994E-2</v>
      </c>
      <c r="G37">
        <v>92.7</v>
      </c>
      <c r="H37" s="123">
        <f t="shared" si="4"/>
        <v>7698.8723950938511</v>
      </c>
      <c r="I37">
        <v>7</v>
      </c>
      <c r="J37">
        <f t="shared" si="5"/>
        <v>648.9</v>
      </c>
      <c r="K37">
        <v>7</v>
      </c>
      <c r="L37">
        <v>0</v>
      </c>
      <c r="M37">
        <v>0</v>
      </c>
    </row>
    <row r="38" spans="2:13" x14ac:dyDescent="0.25">
      <c r="B38">
        <v>6206</v>
      </c>
      <c r="C38" t="s">
        <v>79</v>
      </c>
      <c r="D38" s="122">
        <v>4.2539999999999994E-2</v>
      </c>
      <c r="E38" s="121"/>
      <c r="F38" s="122">
        <v>4.2539999999999994E-2</v>
      </c>
      <c r="G38">
        <v>130.5</v>
      </c>
      <c r="H38" s="123">
        <f t="shared" si="4"/>
        <v>5468.8541841011493</v>
      </c>
      <c r="I38">
        <v>5</v>
      </c>
      <c r="J38">
        <f t="shared" si="5"/>
        <v>652.5</v>
      </c>
      <c r="K38">
        <v>5</v>
      </c>
      <c r="L38">
        <v>0</v>
      </c>
      <c r="M38">
        <v>0</v>
      </c>
    </row>
    <row r="39" spans="2:13" x14ac:dyDescent="0.25">
      <c r="B39">
        <v>6274</v>
      </c>
      <c r="C39" t="s">
        <v>80</v>
      </c>
      <c r="D39" s="122">
        <v>8.5079999999999989E-2</v>
      </c>
      <c r="E39" s="121"/>
      <c r="F39" s="122">
        <v>8.5079999999999989E-2</v>
      </c>
      <c r="G39">
        <v>1455</v>
      </c>
      <c r="H39" s="123">
        <f t="shared" si="4"/>
        <v>981.01095673567011</v>
      </c>
      <c r="I39">
        <v>1</v>
      </c>
      <c r="J39">
        <f t="shared" si="5"/>
        <v>1455</v>
      </c>
      <c r="K39">
        <v>1</v>
      </c>
      <c r="L39">
        <v>0</v>
      </c>
      <c r="M39">
        <v>0</v>
      </c>
    </row>
    <row r="40" spans="2:13" x14ac:dyDescent="0.25">
      <c r="B40">
        <v>7610</v>
      </c>
      <c r="C40" t="s">
        <v>81</v>
      </c>
      <c r="D40" s="122">
        <v>4.2539999999999994E-2</v>
      </c>
      <c r="E40" s="121"/>
      <c r="F40" s="122">
        <v>4.2539999999999994E-2</v>
      </c>
      <c r="G40">
        <v>830</v>
      </c>
      <c r="H40" s="123">
        <f t="shared" si="4"/>
        <v>859.86201328337347</v>
      </c>
      <c r="I40">
        <v>1</v>
      </c>
      <c r="J40">
        <f t="shared" si="5"/>
        <v>830</v>
      </c>
      <c r="K40">
        <v>1</v>
      </c>
      <c r="L40">
        <v>0</v>
      </c>
      <c r="M40">
        <v>0</v>
      </c>
    </row>
    <row r="41" spans="2:13" x14ac:dyDescent="0.25">
      <c r="B41">
        <v>8227</v>
      </c>
      <c r="C41" t="s">
        <v>82</v>
      </c>
      <c r="D41" s="122">
        <v>4.2539999999999994E-2</v>
      </c>
      <c r="E41" s="121"/>
      <c r="F41" s="122">
        <v>4.2539999999999994E-2</v>
      </c>
      <c r="G41">
        <v>226</v>
      </c>
      <c r="H41" s="123">
        <f t="shared" si="4"/>
        <v>3157.9003142707966</v>
      </c>
      <c r="I41">
        <v>3</v>
      </c>
      <c r="J41">
        <f t="shared" si="5"/>
        <v>678</v>
      </c>
      <c r="K41">
        <v>3</v>
      </c>
      <c r="L41">
        <v>0</v>
      </c>
      <c r="M41">
        <v>0</v>
      </c>
    </row>
    <row r="42" spans="2:13" x14ac:dyDescent="0.25">
      <c r="B42">
        <v>6531</v>
      </c>
      <c r="C42" t="s">
        <v>83</v>
      </c>
      <c r="D42" s="122">
        <v>4.2539999999999994E-2</v>
      </c>
      <c r="F42" s="122">
        <v>4.2539999999999994E-2</v>
      </c>
      <c r="G42">
        <v>962</v>
      </c>
      <c r="H42" s="123">
        <f t="shared" si="4"/>
        <v>741.87678900748438</v>
      </c>
      <c r="I42">
        <v>1</v>
      </c>
      <c r="J42">
        <f t="shared" si="5"/>
        <v>962</v>
      </c>
      <c r="K42">
        <v>1</v>
      </c>
      <c r="L42">
        <v>0</v>
      </c>
      <c r="M42">
        <v>0</v>
      </c>
    </row>
    <row r="45" spans="2:13" x14ac:dyDescent="0.25">
      <c r="I45">
        <f>586.7-295</f>
        <v>291.70000000000005</v>
      </c>
    </row>
  </sheetData>
  <mergeCells count="2">
    <mergeCell ref="B15:C15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2026-09-17T05:59:09Z</dcterms:modified>
  <cp:category/>
  <cp:contentStatus/>
</cp:coreProperties>
</file>