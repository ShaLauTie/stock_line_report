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EC4B7533-8A67-4ECB-8DDF-0E19D5FB2D14}" xr6:coauthVersionLast="47" xr6:coauthVersionMax="47" xr10:uidLastSave="{00000000-0000-0000-0000-000000000000}"/>
  <bookViews>
    <workbookView xWindow="-28920" yWindow="-1275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7" l="1"/>
  <c r="D12" i="2"/>
  <c r="F12" i="2" s="1"/>
  <c r="D5" i="17" s="1"/>
  <c r="D11" i="2"/>
  <c r="F11" i="2" s="1"/>
  <c r="D9" i="17" s="1"/>
  <c r="D10" i="2"/>
  <c r="F10" i="2" s="1"/>
  <c r="D10" i="17" s="1"/>
  <c r="D9" i="2"/>
  <c r="F9" i="2" s="1"/>
  <c r="D6" i="17" s="1"/>
  <c r="D8" i="2"/>
  <c r="F8" i="2" s="1"/>
  <c r="D8" i="17" s="1"/>
  <c r="D7" i="2"/>
  <c r="F7" i="2" s="1"/>
  <c r="D7" i="17" s="1"/>
  <c r="D6" i="2"/>
  <c r="D5" i="2"/>
  <c r="F5" i="2" s="1"/>
  <c r="D11" i="17" s="1"/>
  <c r="D4" i="2"/>
  <c r="F4" i="2" s="1"/>
  <c r="R171" i="36"/>
  <c r="Q171" i="36"/>
  <c r="P171" i="36"/>
  <c r="O171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E15" i="2"/>
  <c r="F11" i="17"/>
  <c r="R163" i="36"/>
  <c r="Q163" i="36"/>
  <c r="N163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2" i="17"/>
  <c r="G12" i="17"/>
  <c r="F9" i="17"/>
  <c r="F8" i="17"/>
  <c r="F6" i="17"/>
  <c r="F3" i="17"/>
  <c r="C21" i="2"/>
  <c r="D16" i="17" s="1"/>
  <c r="D18" i="17"/>
  <c r="H18" i="17" s="1"/>
  <c r="J18" i="17" s="1"/>
  <c r="D17" i="17"/>
  <c r="I7" i="36"/>
  <c r="J7" i="36"/>
  <c r="G7" i="36"/>
  <c r="C6" i="2"/>
  <c r="E12" i="2"/>
  <c r="F5" i="17" s="1"/>
  <c r="E6" i="2"/>
  <c r="F4" i="17" s="1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 s="1"/>
  <c r="O13" i="17"/>
  <c r="D14" i="17"/>
  <c r="G14" i="17"/>
  <c r="S7" i="36"/>
  <c r="T7" i="36"/>
  <c r="B3" i="36"/>
  <c r="P141" i="36"/>
  <c r="P147" i="36"/>
  <c r="P108" i="36"/>
  <c r="P31" i="36"/>
  <c r="P153" i="36"/>
  <c r="P55" i="36"/>
  <c r="P65" i="36"/>
  <c r="P138" i="36"/>
  <c r="P102" i="36"/>
  <c r="P98" i="36"/>
  <c r="P88" i="36"/>
  <c r="P107" i="36"/>
  <c r="P16" i="36"/>
  <c r="P12" i="36"/>
  <c r="P94" i="36"/>
  <c r="P117" i="36"/>
  <c r="P32" i="36"/>
  <c r="P144" i="36"/>
  <c r="P52" i="36"/>
  <c r="P115" i="36"/>
  <c r="P26" i="36"/>
  <c r="P19" i="36"/>
  <c r="P128" i="36"/>
  <c r="P48" i="36"/>
  <c r="P8" i="36"/>
  <c r="P51" i="36"/>
  <c r="P83" i="36"/>
  <c r="P148" i="36"/>
  <c r="P37" i="36"/>
  <c r="P60" i="36"/>
  <c r="P105" i="36"/>
  <c r="P73" i="36"/>
  <c r="P28" i="36"/>
  <c r="P68" i="36"/>
  <c r="P21" i="36"/>
  <c r="P57" i="36"/>
  <c r="P39" i="36"/>
  <c r="P24" i="36"/>
  <c r="P47" i="36"/>
  <c r="P132" i="36"/>
  <c r="P20" i="36"/>
  <c r="P133" i="36"/>
  <c r="P76" i="36"/>
  <c r="P22" i="36"/>
  <c r="P43" i="36"/>
  <c r="P66" i="36"/>
  <c r="P97" i="36"/>
  <c r="P137" i="36"/>
  <c r="P70" i="36"/>
  <c r="P143" i="36"/>
  <c r="P82" i="36"/>
  <c r="P152" i="36"/>
  <c r="P136" i="36"/>
  <c r="P50" i="36"/>
  <c r="P110" i="36"/>
  <c r="P87" i="36"/>
  <c r="P100" i="36"/>
  <c r="P146" i="36"/>
  <c r="P17" i="36"/>
  <c r="P114" i="36"/>
  <c r="P106" i="36"/>
  <c r="P54" i="36"/>
  <c r="P74" i="36"/>
  <c r="P69" i="36"/>
  <c r="P78" i="36"/>
  <c r="P27" i="36"/>
  <c r="P40" i="36"/>
  <c r="P84" i="36"/>
  <c r="P15" i="36"/>
  <c r="P81" i="36"/>
  <c r="P103" i="36"/>
  <c r="P71" i="36"/>
  <c r="P42" i="36"/>
  <c r="P89" i="36"/>
  <c r="P11" i="36"/>
  <c r="P91" i="36"/>
  <c r="P63" i="36"/>
  <c r="P59" i="36"/>
  <c r="P125" i="36"/>
  <c r="P35" i="36"/>
  <c r="P13" i="36"/>
  <c r="P90" i="36"/>
  <c r="P101" i="36"/>
  <c r="P120" i="36"/>
  <c r="P72" i="36"/>
  <c r="P95" i="36"/>
  <c r="P86" i="36"/>
  <c r="P155" i="36"/>
  <c r="P151" i="36"/>
  <c r="P150" i="36"/>
  <c r="P139" i="36"/>
  <c r="P49" i="36"/>
  <c r="P67" i="36"/>
  <c r="P18" i="36"/>
  <c r="P127" i="36"/>
  <c r="P75" i="36"/>
  <c r="P85" i="36"/>
  <c r="P149" i="36"/>
  <c r="P130" i="36"/>
  <c r="P131" i="36"/>
  <c r="P113" i="36"/>
  <c r="P23" i="36"/>
  <c r="P111" i="36"/>
  <c r="P38" i="36"/>
  <c r="P44" i="36"/>
  <c r="P79" i="36"/>
  <c r="P9" i="36"/>
  <c r="P99" i="36"/>
  <c r="P124" i="36"/>
  <c r="P92" i="36"/>
  <c r="P41" i="36"/>
  <c r="P64" i="36"/>
  <c r="P121" i="36"/>
  <c r="P122" i="36"/>
  <c r="P33" i="36"/>
  <c r="P109" i="36"/>
  <c r="P36" i="36"/>
  <c r="P116" i="36"/>
  <c r="P140" i="36"/>
  <c r="P119" i="36"/>
  <c r="P14" i="36"/>
  <c r="P145" i="36"/>
  <c r="P93" i="36"/>
  <c r="P96" i="36"/>
  <c r="P154" i="36"/>
  <c r="P10" i="36"/>
  <c r="P25" i="36"/>
  <c r="P62" i="36"/>
  <c r="P123" i="36"/>
  <c r="P112" i="36"/>
  <c r="P34" i="36"/>
  <c r="P45" i="36"/>
  <c r="P56" i="36"/>
  <c r="O156" i="36"/>
  <c r="O155" i="36"/>
  <c r="O154" i="36"/>
  <c r="O153" i="36"/>
  <c r="O89" i="36"/>
  <c r="O86" i="36"/>
  <c r="O45" i="36"/>
  <c r="O65" i="36"/>
  <c r="O36" i="36"/>
  <c r="O15" i="36"/>
  <c r="O55" i="36"/>
  <c r="O80" i="36"/>
  <c r="O67" i="36"/>
  <c r="O49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34" i="36"/>
  <c r="O133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74" i="36"/>
  <c r="O18" i="36"/>
  <c r="O79" i="36"/>
  <c r="O78" i="36"/>
  <c r="O43" i="36"/>
  <c r="O152" i="36"/>
  <c r="O61" i="36"/>
  <c r="O124" i="36"/>
  <c r="O52" i="36"/>
  <c r="O139" i="36"/>
  <c r="O128" i="36"/>
  <c r="O109" i="36"/>
  <c r="O101" i="36"/>
  <c r="O8" i="36"/>
  <c r="O25" i="36"/>
  <c r="O22" i="36"/>
  <c r="O88" i="36"/>
  <c r="O92" i="36"/>
  <c r="O10" i="36"/>
  <c r="O31" i="36"/>
  <c r="O69" i="36"/>
  <c r="O119" i="36"/>
  <c r="O116" i="36"/>
  <c r="O143" i="36"/>
  <c r="O54" i="36"/>
  <c r="O58" i="36"/>
  <c r="O46" i="36"/>
  <c r="O56" i="36"/>
  <c r="O95" i="36"/>
  <c r="O96" i="36"/>
  <c r="O93" i="36"/>
  <c r="O29" i="36"/>
  <c r="O114" i="36"/>
  <c r="O28" i="36"/>
  <c r="O23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P161" i="36"/>
  <c r="P157" i="36"/>
  <c r="P163" i="36"/>
  <c r="P160" i="36"/>
  <c r="P162" i="36"/>
  <c r="P159" i="36"/>
  <c r="P158" i="36"/>
  <c r="O160" i="36"/>
  <c r="O159" i="36"/>
  <c r="O163" i="36"/>
  <c r="O162" i="36"/>
  <c r="O158" i="36"/>
  <c r="O157" i="36"/>
  <c r="O161" i="36"/>
  <c r="P104" i="36"/>
  <c r="P29" i="36"/>
  <c r="P77" i="36"/>
  <c r="P129" i="36"/>
  <c r="P61" i="36"/>
  <c r="P58" i="36"/>
  <c r="P142" i="36"/>
  <c r="P46" i="36"/>
  <c r="P156" i="36"/>
  <c r="P53" i="36"/>
  <c r="P30" i="36"/>
  <c r="P80" i="36"/>
  <c r="P118" i="36"/>
  <c r="P126" i="36"/>
  <c r="H14" i="17" l="1"/>
  <c r="J14" i="17" s="1"/>
  <c r="G20" i="17"/>
  <c r="O7" i="17"/>
  <c r="H7" i="17"/>
  <c r="J7" i="17" s="1"/>
  <c r="F6" i="2"/>
  <c r="D4" i="17" s="1"/>
  <c r="O5" i="17"/>
  <c r="H5" i="17"/>
  <c r="J5" i="17" s="1"/>
  <c r="H9" i="17"/>
  <c r="J9" i="17" s="1"/>
  <c r="O9" i="17"/>
  <c r="O6" i="17"/>
  <c r="H6" i="17"/>
  <c r="J6" i="17" s="1"/>
  <c r="O8" i="17"/>
  <c r="H8" i="17"/>
  <c r="J8" i="17" s="1"/>
  <c r="H11" i="17"/>
  <c r="J11" i="17" s="1"/>
  <c r="O11" i="17"/>
  <c r="D3" i="17"/>
  <c r="F15" i="2"/>
  <c r="F24" i="2" s="1"/>
  <c r="H10" i="17"/>
  <c r="J10" i="17" s="1"/>
  <c r="O10" i="17"/>
  <c r="H16" i="17"/>
  <c r="J16" i="17" s="1"/>
  <c r="H17" i="17"/>
  <c r="J17" i="17" s="1"/>
  <c r="O4" i="17"/>
  <c r="H4" i="17"/>
  <c r="J4" i="17" s="1"/>
  <c r="F12" i="17"/>
  <c r="O3" i="17" l="1"/>
  <c r="O12" i="17" s="1"/>
  <c r="D12" i="17"/>
  <c r="H3" i="17"/>
  <c r="F21" i="2"/>
  <c r="H28" i="2"/>
  <c r="K171" i="36" l="1"/>
  <c r="D20" i="17"/>
  <c r="E7" i="17" s="1"/>
  <c r="D19" i="17"/>
  <c r="H12" i="17"/>
  <c r="J12" i="17" s="1"/>
  <c r="J3" i="17"/>
  <c r="H34" i="2"/>
  <c r="H35" i="2"/>
  <c r="H37" i="2"/>
  <c r="H38" i="2"/>
  <c r="H36" i="2"/>
  <c r="H39" i="2"/>
  <c r="H41" i="2"/>
  <c r="H40" i="2"/>
  <c r="H44" i="2"/>
  <c r="H42" i="2"/>
  <c r="H32" i="2"/>
  <c r="H43" i="2"/>
  <c r="H33" i="2"/>
  <c r="H30" i="2"/>
  <c r="H31" i="2"/>
  <c r="H29" i="2"/>
  <c r="E2" i="36" l="1"/>
  <c r="E12" i="17"/>
  <c r="E3" i="17"/>
  <c r="E17" i="17"/>
  <c r="E16" i="17"/>
  <c r="E10" i="17"/>
  <c r="E4" i="17"/>
  <c r="E18" i="17"/>
  <c r="E6" i="17"/>
  <c r="E20" i="17"/>
  <c r="E5" i="17"/>
  <c r="E8" i="17"/>
  <c r="B171" i="36"/>
  <c r="E9" i="17"/>
  <c r="H20" i="17"/>
  <c r="J20" i="17" s="1"/>
  <c r="E13" i="17"/>
  <c r="D22" i="17"/>
  <c r="D23" i="17" s="1"/>
  <c r="B2" i="36"/>
  <c r="E11" i="17"/>
  <c r="T171" i="36" l="1"/>
  <c r="C171" i="36"/>
  <c r="E171" i="36"/>
  <c r="S171" i="36" l="1"/>
  <c r="N171" i="36"/>
  <c r="D1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<sst xmlns="http://schemas.openxmlformats.org/spreadsheetml/2006/main" count="121" uniqueCount="108">
  <si>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</si>
  <si>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</si>
  <si>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</si>
  <si>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</si>
  <si>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</si>
  <si>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</si>
  <si>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</si>
  <si>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</si>
  <si>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</si>
  <si>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</si>
  <si>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</si>
  <si>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</si>
  <si>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</si>
  <si>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</si>
  <si>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</si>
  <si>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</si>
  <si>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</si>
  <si>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</si>
  <si>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</si>
  <si>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</si>
  <si>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</si>
  <si>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</si>
  <si>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</si>
  <si>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</si>
  <si>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</si>
  <si>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</si>
  <si>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</si>
  <si>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</si>
  <si>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</si>
  <si>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</si>
  <si>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</si>
  <si>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</si>
  <si>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</si>
  <si>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</si>
  <si>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</si>
  <si>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</si>
  <si>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</si>
  <si>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</si>
  <si>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</si>
  <si>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</si>
  <si>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</si>
  <si>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</si>
  <si>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</si>
  <si>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</si>
  <si>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</si>
  <si>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</si>
  <si>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</si>
  <si>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</si>
  <si>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</si>
  <si>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</si>
  <si>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</si>
  <si>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</si>
  <si>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</si>
  <si>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</si>
  <si>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</si>
  <si>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</si>
  <si>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</si>
  <si>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</si>
  <si>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</si>
  <si>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</si>
  <si>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</si>
  <si>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</si>
  <si>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</si>
  <si>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</si>
  <si>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</si>
  <si>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</si>
  <si>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</si>
  <si>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</si>
  <si>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</si>
  <si>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</si>
  <si>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</si>
  <si>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</si>
  <si>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</si>
  <si>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</si>
  <si>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</si>
  <si>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</si>
  <si>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</si>
  <si>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</si>
  <si>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</si>
  <si>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</si>
  <si>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</si>
  <si>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</si>
  <si>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</si>
  <si>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</si>
  <si>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</si>
  <si>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</si>
  <si>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</si>
  <si>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</si>
  <si>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</si>
  <si>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</si>
  <si>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</si>
  <si>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</si>
  <si>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</si>
  <si>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</si>
  <si>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</si>
  <si>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</si>
  <si>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</si>
  <si>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</si>
  <si>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</si>
  <si>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</si>
  <si>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國泰金</t>
  </si>
  <si>
    <t>國泰金(2882)</t>
  </si>
  <si>
    <t>研華</t>
    <phoneticPr fontId="1" type="noConversion"/>
  </si>
  <si>
    <t>研華(2395)</t>
    <phoneticPr fontId="1" type="noConversion"/>
  </si>
  <si>
    <t>邊緣運算</t>
    <phoneticPr fontId="1" type="noConversion"/>
  </si>
  <si>
    <t>聯發科</t>
    <phoneticPr fontId="1" type="noConversion"/>
  </si>
  <si>
    <t>聯發科(2454)</t>
    <phoneticPr fontId="1" type="noConversion"/>
  </si>
  <si>
    <t>半導體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</si>
</sst>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總表!$A$7:$A$175</c:f>
              <c:numCache>
                <c:formatCode>m/d/yyyy</c:formatCode>
                <c:ptCount val="16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</c:numCache>
            </c:numRef>
          </c:cat>
          <c:val>
            <c:numRef>
              <c:f>總表!$N$7:$N$175</c:f>
              <c:numCache>
                <c:formatCode>0.0%</c:formatCode>
                <c:ptCount val="169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1.1057519282541639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總表!$A$7:$A$175</c:f>
              <c:numCache>
                <c:formatCode>m/d/yyyy</c:formatCode>
                <c:ptCount val="16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</c:numCache>
            </c:numRef>
          </c:cat>
          <c:val>
            <c:numRef>
              <c:f>總表!$Q$7:$Q$175</c:f>
              <c:numCache>
                <c:formatCode>0.0%</c:formatCode>
                <c:ptCount val="169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0.65813675840947949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總表!$A$7:$A$175</c:f>
              <c:numCache>
                <c:formatCode>m/d/yyyy</c:formatCode>
                <c:ptCount val="16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</c:numCache>
            </c:numRef>
          </c:cat>
          <c:val>
            <c:numRef>
              <c:f>總表!$R$7:$R$175</c:f>
              <c:numCache>
                <c:formatCode>0.0%</c:formatCode>
                <c:ptCount val="169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0.50713310614015961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171</xdr:row>
      <xdr:rowOff>185464</xdr:rowOff>
    </xdr:from>
    <xdr:to>
      <xdr:col>20</xdr:col>
      <xdr:colOff>39252</xdr:colOff>
      <xdr:row>192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09/&#32929;&#31080;&#32317;&#37096;&#20301;&#24115;20260907.xlsx" TargetMode="External"/><Relationship Id="rId2" Type="http://schemas.openxmlformats.org/officeDocument/2006/relationships/externalLinkPath" Target="file:///C:\Users\PPP\Desktop\&#35352;&#24115;&#26032;\&#33258;&#24049;\202609\&#32929;&#31080;&#32317;&#37096;&#20301;&#24115;20260907.xlsx" TargetMode="External"/><Relationship Id="rId1" Type="http://schemas.openxmlformats.org/officeDocument/2006/relationships/externalLinkPath" Target="/Users/PPP/Desktop/&#35352;&#24115;&#26032;/&#33258;&#24049;/202609/&#32929;&#31080;&#32317;&#37096;&#20301;&#24115;202609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36.950000000000003</v>
          </cell>
        </row>
        <row r="5">
          <cell r="B5" t="str">
            <v>緯穎</v>
          </cell>
          <cell r="C5">
            <v>0</v>
          </cell>
          <cell r="D5">
            <v>2490</v>
          </cell>
        </row>
        <row r="6">
          <cell r="B6" t="str">
            <v>富邦金</v>
          </cell>
          <cell r="C6">
            <v>0</v>
          </cell>
          <cell r="D6">
            <v>150</v>
          </cell>
        </row>
        <row r="7">
          <cell r="B7" t="str">
            <v>聯發科</v>
          </cell>
          <cell r="C7">
            <v>0</v>
          </cell>
          <cell r="D7">
            <v>4785</v>
          </cell>
        </row>
        <row r="8">
          <cell r="B8" t="str">
            <v>中華立鼎</v>
          </cell>
          <cell r="C8">
            <v>6000</v>
          </cell>
          <cell r="D8">
            <v>639</v>
          </cell>
        </row>
        <row r="9">
          <cell r="B9" t="str">
            <v>國泰金</v>
          </cell>
          <cell r="C9">
            <v>0</v>
          </cell>
          <cell r="D9">
            <v>114.5</v>
          </cell>
        </row>
        <row r="10">
          <cell r="B10" t="str">
            <v>台新新光金</v>
          </cell>
          <cell r="C10">
            <v>0</v>
          </cell>
          <cell r="D10">
            <v>41.15</v>
          </cell>
        </row>
        <row r="11">
          <cell r="B11" t="str">
            <v>仁新</v>
          </cell>
          <cell r="C11">
            <v>38000</v>
          </cell>
          <cell r="D11">
            <v>176.5</v>
          </cell>
        </row>
        <row r="12">
          <cell r="B12" t="str">
            <v>研華</v>
          </cell>
          <cell r="C12">
            <v>0</v>
          </cell>
          <cell r="D12">
            <v>692.32</v>
          </cell>
        </row>
        <row r="13">
          <cell r="B13" t="str">
            <v>BLTE</v>
          </cell>
          <cell r="C13">
            <v>0</v>
          </cell>
          <cell r="D13">
            <v>193.61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2"/>
  <sheetViews>
    <sheetView tabSelected="1" topLeftCell="A2" zoomScale="70" zoomScaleNormal="70" workbookViewId="0">
      <pane xSplit="1" ySplit="5" topLeftCell="B149" activePane="bottomRight" state="frozen"/>
      <selection activeCell="A2" sqref="A2"/>
      <selection pane="topRight" activeCell="B5" sqref="B5"/>
      <selection pane="bottomLeft" activeCell="B5" sqref="B5"/>
      <selection pane="bottomRight" activeCell="Y161" sqref="Y161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按股票分類!D20</f>
        <v>26069988</v>
      </c>
      <c r="C2" s="35"/>
      <c r="D2" s="35"/>
      <c r="E2" s="36">
        <f>按股票分類!D12/按股票分類!D20</f>
        <v>1.5731365123758401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46272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3" si="299">C157/C$7-1</f>
        <v>1.1103529566555768</v>
      </c>
      <c r="O157" s="61" t="e">
        <f t="shared" ref="O157:O163" si="300">G157/G$7-1</f>
        <v>#REF!</v>
      </c>
      <c r="P157" s="61" t="e">
        <f t="shared" ref="P157:P163" si="301">J157/J$7-1</f>
        <v>#REF!</v>
      </c>
      <c r="Q157" s="61">
        <f t="shared" ref="Q157:Q163" si="302">L157/L$7-1</f>
        <v>0.58645361164495258</v>
      </c>
      <c r="R157" s="61">
        <f t="shared" ref="R157:R163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si="299"/>
        <v>0.91120176537534836</v>
      </c>
      <c r="O163" s="61" t="e">
        <f t="shared" si="300"/>
        <v>#REF!</v>
      </c>
      <c r="P163" s="61" t="e">
        <f t="shared" si="301"/>
        <v>#REF!</v>
      </c>
      <c r="Q163" s="61">
        <f t="shared" si="302"/>
        <v>0.60519697909051673</v>
      </c>
      <c r="R163" s="61">
        <f t="shared" si="303"/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71" si="304">C164/C$7-1</f>
        <v>0.89756178531013231</v>
      </c>
      <c r="O164" s="61" t="e">
        <f t="shared" ref="O164:O171" si="305">G164/G$7-1</f>
        <v>#REF!</v>
      </c>
      <c r="P164" s="61" t="e">
        <f t="shared" ref="P164:P171" si="306">J164/J$7-1</f>
        <v>#REF!</v>
      </c>
      <c r="Q164" s="61">
        <f t="shared" ref="Q164:Q171" si="307">L164/L$7-1</f>
        <v>0.61017308972569739</v>
      </c>
      <c r="R164" s="61">
        <f t="shared" ref="R164:R171" si="308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4"/>
        <v>0.91640984881711951</v>
      </c>
      <c r="O165" s="61" t="e">
        <f t="shared" si="305"/>
        <v>#REF!</v>
      </c>
      <c r="P165" s="61" t="e">
        <f t="shared" si="306"/>
        <v>#REF!</v>
      </c>
      <c r="Q165" s="61">
        <f t="shared" si="307"/>
        <v>0.6230043161485499</v>
      </c>
      <c r="R165" s="61">
        <f t="shared" si="308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4"/>
        <v>0.96151924377058196</v>
      </c>
      <c r="O166" s="61" t="e">
        <f t="shared" si="305"/>
        <v>#REF!</v>
      </c>
      <c r="P166" s="61" t="e">
        <f t="shared" si="306"/>
        <v>#REF!</v>
      </c>
      <c r="Q166" s="61">
        <f t="shared" si="307"/>
        <v>0.61586309715749632</v>
      </c>
      <c r="R166" s="61">
        <f t="shared" si="308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4"/>
        <v>0.98614532522049037</v>
      </c>
      <c r="O167" s="61" t="e">
        <f t="shared" si="305"/>
        <v>#REF!</v>
      </c>
      <c r="P167" s="61" t="e">
        <f t="shared" si="306"/>
        <v>#REF!</v>
      </c>
      <c r="Q167" s="61">
        <f t="shared" si="307"/>
        <v>0.64462546028689993</v>
      </c>
      <c r="R167" s="61">
        <f t="shared" si="308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4"/>
        <v>0.94479244158292519</v>
      </c>
      <c r="O168" s="61" t="e">
        <f t="shared" si="305"/>
        <v>#REF!</v>
      </c>
      <c r="P168" s="61" t="e">
        <f t="shared" si="306"/>
        <v>#REF!</v>
      </c>
      <c r="Q168" s="61">
        <f t="shared" si="307"/>
        <v>0.61732911034780158</v>
      </c>
      <c r="R168" s="61">
        <f t="shared" si="308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si="304"/>
        <v>0.93081870735688854</v>
      </c>
      <c r="O169" s="61" t="e">
        <f t="shared" si="305"/>
        <v>#REF!</v>
      </c>
      <c r="P169" s="61" t="e">
        <f t="shared" si="306"/>
        <v>#REF!</v>
      </c>
      <c r="Q169" s="61">
        <f t="shared" si="307"/>
        <v>0.60660550074515251</v>
      </c>
      <c r="R169" s="61">
        <f t="shared" si="308"/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04"/>
        <v>1.0138596019343522</v>
      </c>
      <c r="O170" s="61" t="e">
        <f t="shared" si="305"/>
        <v>#REF!</v>
      </c>
      <c r="P170" s="61" t="e">
        <f t="shared" si="306"/>
        <v>#REF!</v>
      </c>
      <c r="Q170" s="61">
        <f t="shared" si="307"/>
        <v>0.6309007164448508</v>
      </c>
      <c r="R170" s="61">
        <f t="shared" si="30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7.100000000000001" customHeight="1" x14ac:dyDescent="0.25">
      <c r="A171" s="55">
        <v>46272</v>
      </c>
      <c r="B171" s="56">
        <f>按股票分類!D20</f>
        <v>26069988</v>
      </c>
      <c r="C171" s="79">
        <f>B171/D171</f>
        <v>21.057519282541637</v>
      </c>
      <c r="D171" s="58">
        <v>1238037</v>
      </c>
      <c r="E171" s="58">
        <f>B171-B170</f>
        <v>1137661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f>按股票分類!D12</f>
        <v>41011650</v>
      </c>
      <c r="L171" s="60">
        <v>109281.12803699999</v>
      </c>
      <c r="M171" s="60">
        <v>760.66514999999993</v>
      </c>
      <c r="N171" s="61">
        <f t="shared" si="304"/>
        <v>1.1057519282541639</v>
      </c>
      <c r="O171" s="61" t="e">
        <f t="shared" si="305"/>
        <v>#REF!</v>
      </c>
      <c r="P171" s="61" t="e">
        <f t="shared" si="306"/>
        <v>#REF!</v>
      </c>
      <c r="Q171" s="61">
        <f t="shared" si="307"/>
        <v>0.65813675840947949</v>
      </c>
      <c r="R171" s="61">
        <f t="shared" si="308"/>
        <v>0.50713310614015961</v>
      </c>
      <c r="S171" s="83">
        <f>C171/MAX($C$7:C171)-1</f>
        <v>-0.11499265260247782</v>
      </c>
      <c r="T171" s="62">
        <f>K171/B171</f>
        <v>1.5731365123758401</v>
      </c>
      <c r="U171" s="62">
        <v>0</v>
      </c>
    </row>
    <row r="172" spans="1:21" ht="16.5" x14ac:dyDescent="0.25">
      <c r="A172" s="55"/>
      <c r="B172" s="56"/>
      <c r="C172" s="61"/>
      <c r="D172" s="56"/>
      <c r="F172" s="58"/>
      <c r="G172" s="58"/>
      <c r="H172" s="58"/>
      <c r="I172" s="59"/>
      <c r="J172" s="59"/>
      <c r="K172" s="59"/>
      <c r="L172" s="60"/>
      <c r="M172" s="84"/>
      <c r="N172" s="61"/>
      <c r="O172" s="61"/>
      <c r="P172" s="61"/>
      <c r="Q172" s="61"/>
      <c r="R172" s="61"/>
      <c r="S172" s="61"/>
      <c r="T172" s="62"/>
      <c r="U172" s="62"/>
    </row>
    <row r="173" spans="1:21" ht="16.5" x14ac:dyDescent="0.25">
      <c r="A173" s="55"/>
      <c r="B173" s="56"/>
      <c r="C173" s="56"/>
      <c r="D173" s="56"/>
      <c r="E173" s="57"/>
      <c r="F173" s="58"/>
      <c r="G173" s="58"/>
      <c r="H173" s="58"/>
      <c r="I173" s="59"/>
      <c r="J173" s="59"/>
      <c r="K173" s="59"/>
      <c r="L173" s="60"/>
      <c r="M173" s="60"/>
      <c r="N173" s="61"/>
      <c r="O173" s="61"/>
      <c r="P173" s="61"/>
      <c r="Q173" s="61"/>
      <c r="R173" s="61"/>
      <c r="S173" s="61"/>
      <c r="T173" s="62"/>
      <c r="U173" s="62"/>
    </row>
    <row r="174" spans="1:21" ht="16.5" x14ac:dyDescent="0.25">
      <c r="A174" s="55"/>
      <c r="B174" s="56"/>
      <c r="C174" s="56"/>
      <c r="D174" s="56"/>
      <c r="E174" s="57"/>
      <c r="F174" s="58"/>
      <c r="G174" s="58"/>
      <c r="H174" s="58"/>
      <c r="I174" s="59"/>
      <c r="J174" s="59"/>
      <c r="K174" s="59"/>
      <c r="L174" s="60"/>
      <c r="M174" s="60"/>
      <c r="N174" s="61"/>
      <c r="O174" s="61"/>
      <c r="P174" s="61"/>
      <c r="Q174" s="61"/>
      <c r="R174" s="61"/>
      <c r="S174" s="61"/>
      <c r="T174" s="62"/>
      <c r="U174" s="62"/>
    </row>
    <row r="175" spans="1:21" ht="16.5" x14ac:dyDescent="0.25">
      <c r="A175" s="55"/>
      <c r="B175" s="56"/>
      <c r="C175" s="56"/>
      <c r="D175" s="56"/>
      <c r="E175" s="57"/>
      <c r="F175" s="58"/>
      <c r="G175" s="58"/>
      <c r="H175" s="58"/>
      <c r="I175" s="59"/>
      <c r="J175" s="59"/>
      <c r="K175" s="59"/>
      <c r="L175" s="60"/>
      <c r="M175" s="60"/>
      <c r="N175" s="61"/>
      <c r="O175" s="61"/>
      <c r="P175" s="61"/>
      <c r="Q175" s="61"/>
      <c r="R175" s="61"/>
      <c r="S175" s="61"/>
      <c r="T175" s="62"/>
      <c r="U175" s="62"/>
    </row>
    <row r="176" spans="1:21" ht="16.5" x14ac:dyDescent="0.25">
      <c r="A176" s="55"/>
      <c r="B176" s="56"/>
      <c r="C176" s="56"/>
      <c r="D176" s="56"/>
      <c r="E176" s="57"/>
      <c r="F176" s="58"/>
      <c r="G176" s="58"/>
      <c r="H176" s="58"/>
      <c r="I176" s="59"/>
      <c r="J176" s="59"/>
      <c r="K176" s="59"/>
      <c r="L176" s="60"/>
      <c r="M176" s="60"/>
      <c r="N176" s="61"/>
      <c r="O176" s="61"/>
      <c r="P176" s="61"/>
      <c r="Q176" s="61"/>
      <c r="R176" s="61"/>
      <c r="S176" s="61"/>
      <c r="T176" s="62"/>
      <c r="U176" s="62"/>
    </row>
    <row r="177" spans="1:23" ht="16.5" x14ac:dyDescent="0.25">
      <c r="A177" s="55"/>
      <c r="B177" s="56"/>
      <c r="C177" s="56"/>
      <c r="D177" s="56"/>
      <c r="E177" s="57"/>
      <c r="F177" s="58"/>
      <c r="G177" s="58"/>
      <c r="H177" s="58"/>
      <c r="I177" s="59"/>
      <c r="J177" s="59"/>
      <c r="K177" s="59"/>
      <c r="L177" s="60"/>
      <c r="M177" s="60"/>
      <c r="N177" s="61"/>
      <c r="O177" s="61"/>
      <c r="P177" s="61"/>
      <c r="Q177" s="61"/>
      <c r="R177" s="61"/>
      <c r="S177" s="61"/>
      <c r="T177" s="62"/>
      <c r="U177" s="62"/>
    </row>
    <row r="178" spans="1:23" ht="16.5" x14ac:dyDescent="0.2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58"/>
      <c r="R178" s="61"/>
      <c r="S178" s="61"/>
      <c r="T178" s="62"/>
      <c r="U178" s="62"/>
    </row>
    <row r="179" spans="1:23" ht="16.5" x14ac:dyDescent="0.2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58"/>
      <c r="R179" s="82"/>
      <c r="S179" s="61"/>
      <c r="T179" s="62"/>
      <c r="U179" s="62"/>
    </row>
    <row r="180" spans="1:23" ht="16.5" x14ac:dyDescent="0.2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58"/>
      <c r="R180" s="61"/>
      <c r="S180" s="61"/>
      <c r="T180" s="62"/>
      <c r="U180" s="62"/>
    </row>
    <row r="181" spans="1:23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58"/>
      <c r="R181" s="61" t="s">
        <v>21</v>
      </c>
      <c r="S181" s="61"/>
      <c r="T181" s="62"/>
      <c r="U181" s="62"/>
    </row>
    <row r="182" spans="1:23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61"/>
      <c r="R182" s="61"/>
      <c r="S182" s="61"/>
      <c r="T182" s="62"/>
      <c r="U182" s="62"/>
    </row>
    <row r="183" spans="1:23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58"/>
      <c r="R183" s="61"/>
      <c r="S183" s="61"/>
      <c r="T183" s="62"/>
      <c r="U183" s="62"/>
    </row>
    <row r="184" spans="1:23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61"/>
      <c r="S184" s="61"/>
      <c r="T184" s="62"/>
      <c r="U184" s="62"/>
    </row>
    <row r="185" spans="1:23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</row>
    <row r="186" spans="1:23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  <c r="W186" s="103"/>
    </row>
    <row r="187" spans="1:23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</row>
    <row r="188" spans="1:23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3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3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3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59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63"/>
      <c r="J269" s="63"/>
      <c r="K269" s="63"/>
      <c r="L269" s="60"/>
      <c r="M269" s="60"/>
      <c r="N269" s="64"/>
      <c r="O269" s="64"/>
      <c r="P269" s="64"/>
      <c r="Q269" s="64"/>
      <c r="R269" s="64"/>
      <c r="S269" s="64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63"/>
      <c r="J270" s="63"/>
      <c r="K270" s="63"/>
      <c r="L270" s="60"/>
      <c r="M270" s="60"/>
      <c r="N270" s="64"/>
      <c r="O270" s="64"/>
      <c r="P270" s="64"/>
      <c r="Q270" s="64"/>
      <c r="R270" s="64"/>
      <c r="S270" s="64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63"/>
      <c r="J271" s="63"/>
      <c r="K271" s="63"/>
      <c r="L271" s="60"/>
      <c r="M271" s="60"/>
      <c r="N271" s="64"/>
      <c r="O271" s="64"/>
      <c r="P271" s="64"/>
      <c r="Q271" s="64"/>
      <c r="R271" s="64"/>
      <c r="S271" s="64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63"/>
      <c r="J272" s="63"/>
      <c r="K272" s="63"/>
      <c r="L272" s="60"/>
      <c r="M272" s="60"/>
      <c r="N272" s="64"/>
      <c r="O272" s="64"/>
      <c r="P272" s="64"/>
      <c r="Q272" s="64"/>
      <c r="R272" s="64"/>
      <c r="S272" s="64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63"/>
      <c r="J273" s="63"/>
      <c r="K273" s="63"/>
      <c r="L273" s="60"/>
      <c r="M273" s="60"/>
      <c r="N273" s="64"/>
      <c r="O273" s="64"/>
      <c r="P273" s="64"/>
      <c r="Q273" s="64"/>
      <c r="R273" s="64"/>
      <c r="S273" s="64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59"/>
      <c r="J297" s="59"/>
      <c r="K297" s="59"/>
      <c r="L297" s="60"/>
      <c r="M297" s="60"/>
      <c r="N297" s="61"/>
      <c r="O297" s="61"/>
      <c r="P297" s="61"/>
      <c r="Q297" s="61"/>
      <c r="R297" s="61"/>
      <c r="S297" s="61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59"/>
      <c r="J298" s="59"/>
      <c r="K298" s="59"/>
      <c r="L298" s="60"/>
      <c r="M298" s="60"/>
      <c r="N298" s="61"/>
      <c r="O298" s="61"/>
      <c r="P298" s="61"/>
      <c r="Q298" s="61"/>
      <c r="R298" s="61"/>
      <c r="S298" s="61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59"/>
      <c r="J299" s="59"/>
      <c r="K299" s="59"/>
      <c r="L299" s="60"/>
      <c r="M299" s="60"/>
      <c r="N299" s="61"/>
      <c r="O299" s="61"/>
      <c r="P299" s="61"/>
      <c r="Q299" s="61"/>
      <c r="R299" s="61"/>
      <c r="S299" s="61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59"/>
      <c r="J300" s="59"/>
      <c r="K300" s="59"/>
      <c r="L300" s="60"/>
      <c r="M300" s="60"/>
      <c r="N300" s="61"/>
      <c r="O300" s="61"/>
      <c r="P300" s="61"/>
      <c r="Q300" s="61"/>
      <c r="R300" s="61"/>
      <c r="S300" s="61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59"/>
      <c r="J301" s="59"/>
      <c r="K301" s="59"/>
      <c r="L301" s="60"/>
      <c r="M301" s="60"/>
      <c r="N301" s="61"/>
      <c r="O301" s="61"/>
      <c r="P301" s="61"/>
      <c r="Q301" s="61"/>
      <c r="R301" s="61"/>
      <c r="S301" s="61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</sheetData>
  <sheetProtection selectLockedCells="1"/>
  <phoneticPr fontId="1" type="noConversion"/>
  <conditionalFormatting sqref="S2:S5 S7:S171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2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1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1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72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2:T402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1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2:U402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T7:T171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T8:T171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T172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T172:T402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U8:U171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U172:U402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="85" zoomScaleNormal="85" workbookViewId="0">
      <selection activeCell="H27" sqref="H27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8472000</v>
      </c>
      <c r="E3" s="69">
        <f t="shared" ref="E3:E13" si="0">D3/$D$20</f>
        <v>0.32497138088441008</v>
      </c>
      <c r="F3" s="125">
        <f>帳戶!E4</f>
        <v>0</v>
      </c>
      <c r="G3" s="125">
        <v>6984000</v>
      </c>
      <c r="H3" s="94">
        <f t="shared" ref="H3:H11" si="1">D3-G3</f>
        <v>1488000</v>
      </c>
      <c r="I3" s="92">
        <v>0</v>
      </c>
      <c r="J3" s="21">
        <f t="shared" ref="J3:J11" si="2">IFERROR(H3/G3,"n/a")</f>
        <v>0.21305841924398625</v>
      </c>
      <c r="K3" s="29" t="s">
        <v>84</v>
      </c>
      <c r="L3" s="130"/>
      <c r="M3" s="130"/>
      <c r="N3" s="131"/>
      <c r="O3" s="98">
        <f t="shared" ref="O3" si="3">D3*0.1</f>
        <v>847200</v>
      </c>
    </row>
    <row r="4" spans="3:15" x14ac:dyDescent="0.25">
      <c r="C4" s="124" t="s">
        <v>89</v>
      </c>
      <c r="D4" s="125">
        <f>帳戶!F6</f>
        <v>6133700.0000000009</v>
      </c>
      <c r="E4" s="69">
        <f t="shared" si="0"/>
        <v>0.23527820572836478</v>
      </c>
      <c r="F4" s="125">
        <f>帳戶!E6</f>
        <v>3158000</v>
      </c>
      <c r="G4" s="125">
        <v>6100500</v>
      </c>
      <c r="H4" s="94">
        <f t="shared" si="1"/>
        <v>33200.000000000931</v>
      </c>
      <c r="I4" s="92">
        <v>3158000</v>
      </c>
      <c r="J4" s="21">
        <f t="shared" si="2"/>
        <v>5.4421768707484516E-3</v>
      </c>
      <c r="K4" s="29" t="s">
        <v>91</v>
      </c>
      <c r="L4" s="130"/>
      <c r="M4" s="130"/>
      <c r="N4" s="131"/>
      <c r="O4" s="98">
        <f t="shared" ref="O4:O11" si="4">D4*0.1</f>
        <v>613370.00000000012</v>
      </c>
    </row>
    <row r="5" spans="3:15" x14ac:dyDescent="0.25">
      <c r="C5" s="124" t="s">
        <v>90</v>
      </c>
      <c r="D5" s="125">
        <f>帳戶!F12</f>
        <v>5349500</v>
      </c>
      <c r="E5" s="69">
        <f t="shared" si="0"/>
        <v>0.20519763952327097</v>
      </c>
      <c r="F5" s="125">
        <f>帳戶!E12</f>
        <v>2897000</v>
      </c>
      <c r="G5" s="125">
        <v>5401500</v>
      </c>
      <c r="H5" s="94">
        <f>D5-G5</f>
        <v>-52000</v>
      </c>
      <c r="I5" s="92">
        <v>2897000</v>
      </c>
      <c r="J5" s="21">
        <f>IFERROR(H5/G5,"n/a")</f>
        <v>-9.6269554753309269E-3</v>
      </c>
      <c r="K5" s="29" t="s">
        <v>91</v>
      </c>
      <c r="L5" s="130"/>
      <c r="M5" s="130"/>
      <c r="N5" s="131"/>
      <c r="O5" s="98">
        <f>D5*0.1</f>
        <v>534950</v>
      </c>
    </row>
    <row r="6" spans="3:15" x14ac:dyDescent="0.25">
      <c r="C6" s="124" t="s">
        <v>101</v>
      </c>
      <c r="D6" s="125">
        <f>帳戶!F9</f>
        <v>5267000</v>
      </c>
      <c r="E6" s="69">
        <f t="shared" si="0"/>
        <v>0.20203308110460197</v>
      </c>
      <c r="F6" s="125">
        <f>帳戶!E9</f>
        <v>3169000</v>
      </c>
      <c r="G6" s="125">
        <v>5290000</v>
      </c>
      <c r="H6" s="94">
        <f>D6-G6</f>
        <v>-23000</v>
      </c>
      <c r="I6" s="92">
        <v>3169000</v>
      </c>
      <c r="J6" s="21">
        <f>IFERROR(H6/G6,"n/a")</f>
        <v>-4.3478260869565218E-3</v>
      </c>
      <c r="K6" s="29" t="s">
        <v>97</v>
      </c>
      <c r="L6" s="130"/>
      <c r="M6" s="130"/>
      <c r="N6" s="131"/>
      <c r="O6" s="98">
        <f>D6*0.1</f>
        <v>526700</v>
      </c>
    </row>
    <row r="7" spans="3:15" x14ac:dyDescent="0.25">
      <c r="C7" s="124" t="s">
        <v>106</v>
      </c>
      <c r="D7" s="125">
        <f>帳戶!F7</f>
        <v>4957260</v>
      </c>
      <c r="E7" s="69">
        <f t="shared" si="0"/>
        <v>0.19015198626098331</v>
      </c>
      <c r="F7" s="125">
        <f>帳戶!E7</f>
        <v>2907000</v>
      </c>
      <c r="G7" s="125">
        <v>0</v>
      </c>
      <c r="H7" s="94">
        <f t="shared" ref="H7" si="5">D7-G7</f>
        <v>4957260</v>
      </c>
      <c r="I7" s="92">
        <v>0</v>
      </c>
      <c r="J7" s="21" t="str">
        <f t="shared" ref="J7" si="6">IFERROR(H7/G7,"n/a")</f>
        <v>n/a</v>
      </c>
      <c r="K7" s="29" t="s">
        <v>107</v>
      </c>
      <c r="L7" s="130"/>
      <c r="M7" s="130"/>
      <c r="N7" s="131"/>
      <c r="O7" s="98">
        <f t="shared" ref="O7" si="7">D7*0.1</f>
        <v>495726</v>
      </c>
    </row>
    <row r="8" spans="3:15" x14ac:dyDescent="0.25">
      <c r="C8" s="124" t="s">
        <v>96</v>
      </c>
      <c r="D8" s="125">
        <f>帳戶!F8</f>
        <v>4950000</v>
      </c>
      <c r="E8" s="69">
        <f t="shared" si="0"/>
        <v>0.18987350512014045</v>
      </c>
      <c r="F8" s="125">
        <f>帳戶!E8</f>
        <v>2819000</v>
      </c>
      <c r="G8" s="125">
        <v>4966500</v>
      </c>
      <c r="H8" s="94">
        <f>D8-G8</f>
        <v>-16500</v>
      </c>
      <c r="I8" s="92">
        <v>2819000</v>
      </c>
      <c r="J8" s="21">
        <f>IFERROR(H8/G8,"n/a")</f>
        <v>-3.3222591362126247E-3</v>
      </c>
      <c r="K8" s="29" t="s">
        <v>95</v>
      </c>
      <c r="L8" s="130"/>
      <c r="M8" s="130"/>
      <c r="N8" s="131"/>
      <c r="O8" s="98">
        <f>D8*0.1</f>
        <v>495000</v>
      </c>
    </row>
    <row r="9" spans="3:15" x14ac:dyDescent="0.25">
      <c r="C9" s="124" t="s">
        <v>93</v>
      </c>
      <c r="D9" s="125">
        <f>帳戶!F11</f>
        <v>3102540</v>
      </c>
      <c r="E9" s="69">
        <f t="shared" si="0"/>
        <v>0.11900811001524052</v>
      </c>
      <c r="F9" s="125">
        <f>帳戶!E11</f>
        <v>0</v>
      </c>
      <c r="G9" s="125">
        <v>3195990</v>
      </c>
      <c r="H9" s="94">
        <f t="shared" ref="H9" si="8">D9-G9</f>
        <v>-93450</v>
      </c>
      <c r="I9" s="92">
        <v>0</v>
      </c>
      <c r="J9" s="21">
        <f t="shared" ref="J9" si="9">IFERROR(H9/G9,"n/a")</f>
        <v>-2.9239766081871343E-2</v>
      </c>
      <c r="K9" s="29" t="s">
        <v>91</v>
      </c>
      <c r="L9" s="130"/>
      <c r="M9" s="130"/>
      <c r="N9" s="131"/>
      <c r="O9" s="98">
        <f>D9*0.1</f>
        <v>310254</v>
      </c>
    </row>
    <row r="10" spans="3:15" x14ac:dyDescent="0.25">
      <c r="C10" s="124" t="s">
        <v>99</v>
      </c>
      <c r="D10" s="125">
        <f>帳戶!F10</f>
        <v>2779650</v>
      </c>
      <c r="E10" s="69">
        <f t="shared" si="0"/>
        <v>0.10662260373882795</v>
      </c>
      <c r="F10" s="125">
        <v>0</v>
      </c>
      <c r="G10" s="125">
        <v>2753550</v>
      </c>
      <c r="H10" s="94">
        <f>D10-G10</f>
        <v>26100</v>
      </c>
      <c r="I10" s="92">
        <v>0</v>
      </c>
      <c r="J10" s="21">
        <f>IFERROR(H10/G10,"n/a")</f>
        <v>9.4786729857819912E-3</v>
      </c>
      <c r="K10" s="29" t="s">
        <v>97</v>
      </c>
      <c r="L10" s="130"/>
      <c r="M10" s="130"/>
      <c r="N10" s="131"/>
      <c r="O10" s="98">
        <f t="shared" ref="O10" si="10">D10*0.1</f>
        <v>277965</v>
      </c>
    </row>
    <row r="11" spans="3:15" x14ac:dyDescent="0.25">
      <c r="C11" s="124" t="s">
        <v>103</v>
      </c>
      <c r="D11" s="125">
        <f>帳戶!F5</f>
        <v>0</v>
      </c>
      <c r="E11" s="69">
        <f t="shared" si="0"/>
        <v>0</v>
      </c>
      <c r="F11" s="125">
        <f>帳戶!E5</f>
        <v>0</v>
      </c>
      <c r="G11" s="125">
        <v>5688000</v>
      </c>
      <c r="H11" s="94">
        <f t="shared" si="1"/>
        <v>-5688000</v>
      </c>
      <c r="I11" s="92">
        <v>3405000</v>
      </c>
      <c r="J11" s="21">
        <f t="shared" si="2"/>
        <v>-1</v>
      </c>
      <c r="K11" s="29" t="s">
        <v>104</v>
      </c>
      <c r="L11" s="130"/>
      <c r="M11" s="130"/>
      <c r="N11" s="131"/>
      <c r="O11" s="98">
        <f t="shared" si="4"/>
        <v>0</v>
      </c>
    </row>
    <row r="12" spans="3:15" ht="17.25" thickBot="1" x14ac:dyDescent="0.3">
      <c r="C12" s="18" t="s">
        <v>30</v>
      </c>
      <c r="D12" s="90">
        <f>SUM(D3:D11)</f>
        <v>41011650</v>
      </c>
      <c r="E12" s="118">
        <f t="shared" si="0"/>
        <v>1.5731365123758401</v>
      </c>
      <c r="F12" s="90">
        <f>SUM(F3:F11)</f>
        <v>14950000</v>
      </c>
      <c r="G12" s="90">
        <f>SUM(G3:G11)</f>
        <v>40380040</v>
      </c>
      <c r="H12" s="90">
        <f>SUM(H3:H11)</f>
        <v>631610.00000000093</v>
      </c>
      <c r="I12" s="90">
        <f>SUM(I3:I11)</f>
        <v>15448000</v>
      </c>
      <c r="J12" s="86">
        <f t="shared" ref="J12:J14" si="11">IFERROR(H12/G12,"n/a")</f>
        <v>1.5641638789857585E-2</v>
      </c>
      <c r="K12" s="86"/>
      <c r="L12" s="86"/>
      <c r="M12" s="86"/>
      <c r="N12" s="86"/>
      <c r="O12" s="126">
        <f>SUM(O3:O11)</f>
        <v>4101165</v>
      </c>
    </row>
    <row r="13" spans="3:15" ht="16.5" customHeight="1" x14ac:dyDescent="0.25">
      <c r="C13" s="87"/>
      <c r="D13" s="104">
        <v>0</v>
      </c>
      <c r="E13" s="106">
        <f t="shared" si="0"/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1"/>
        <v>n/a</v>
      </c>
      <c r="K13" s="107"/>
      <c r="L13" s="107"/>
      <c r="M13" s="107"/>
      <c r="N13" s="107"/>
      <c r="O13" s="100">
        <f>D13*0.1</f>
        <v>0</v>
      </c>
    </row>
    <row r="14" spans="3:15" ht="17.25" thickBot="1" x14ac:dyDescent="0.3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1"/>
        <v>n/a</v>
      </c>
      <c r="K14" s="86"/>
      <c r="L14" s="86"/>
      <c r="M14" s="86"/>
      <c r="N14" s="86"/>
      <c r="O14" s="99">
        <f>SUM(0)</f>
        <v>0</v>
      </c>
    </row>
    <row r="15" spans="3:15" x14ac:dyDescent="0.2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25">
      <c r="C16" s="71" t="s">
        <v>32</v>
      </c>
      <c r="D16" s="91">
        <f>帳戶!C21</f>
        <v>8338</v>
      </c>
      <c r="E16" s="69">
        <f>D16/$D$20</f>
        <v>3.1983137084681438E-4</v>
      </c>
      <c r="F16" s="69"/>
      <c r="G16" s="91">
        <v>287</v>
      </c>
      <c r="H16" s="94">
        <f>D16-G16</f>
        <v>8051</v>
      </c>
      <c r="I16" s="22"/>
      <c r="J16" s="70">
        <f>H16/G16</f>
        <v>28.05226480836237</v>
      </c>
      <c r="K16" s="29" t="s">
        <v>32</v>
      </c>
      <c r="L16" s="29"/>
      <c r="M16" s="29"/>
      <c r="N16" s="29"/>
      <c r="O16" s="98"/>
    </row>
    <row r="17" spans="2:15" x14ac:dyDescent="0.2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2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7.25" thickBot="1" x14ac:dyDescent="0.3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7.25" thickBot="1" x14ac:dyDescent="0.3">
      <c r="C20" s="18" t="s">
        <v>30</v>
      </c>
      <c r="D20" s="90">
        <f>D12+D16-F12+D18+D17</f>
        <v>26069988</v>
      </c>
      <c r="E20" s="118">
        <f>D20/$D$20</f>
        <v>1</v>
      </c>
      <c r="F20" s="20"/>
      <c r="G20" s="90">
        <f>G12+G16-I12+G18+G17</f>
        <v>24932327</v>
      </c>
      <c r="H20" s="95">
        <f t="shared" ref="H20" si="12">D20-G20</f>
        <v>1137661</v>
      </c>
      <c r="I20" s="19"/>
      <c r="J20" s="20">
        <f>H20/G20</f>
        <v>4.5629956642233994E-2</v>
      </c>
      <c r="K20" s="20"/>
      <c r="L20" s="20"/>
      <c r="M20" s="20"/>
      <c r="N20" s="20"/>
      <c r="O20" s="99"/>
    </row>
    <row r="21" spans="2:15" x14ac:dyDescent="0.25">
      <c r="C21" s="119" t="s">
        <v>35</v>
      </c>
      <c r="D21" s="120">
        <v>24932327</v>
      </c>
      <c r="E21" s="23"/>
      <c r="G21" s="23"/>
      <c r="I21" s="26"/>
      <c r="O21" s="97"/>
    </row>
    <row r="22" spans="2:15" ht="18.75" customHeight="1" x14ac:dyDescent="0.25">
      <c r="C22" s="11" t="s">
        <v>36</v>
      </c>
      <c r="D22" s="93">
        <f>D20-D21</f>
        <v>1137661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7.25" thickBot="1" x14ac:dyDescent="0.3">
      <c r="C23" s="12" t="s">
        <v>37</v>
      </c>
      <c r="D23" s="13">
        <f>D22/D21</f>
        <v>4.5629956642233994E-2</v>
      </c>
      <c r="E23" s="23"/>
      <c r="F23" s="24"/>
      <c r="G23" s="23"/>
      <c r="H23" s="24"/>
      <c r="O23" s="97"/>
    </row>
    <row r="24" spans="2:15" x14ac:dyDescent="0.2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25">
      <c r="D25" s="25"/>
      <c r="E25" s="25"/>
    </row>
    <row r="27" spans="2:15" ht="17.25" customHeight="1" x14ac:dyDescent="0.25"/>
    <row r="29" spans="2:15" x14ac:dyDescent="0.25">
      <c r="G29" t="s">
        <v>21</v>
      </c>
    </row>
    <row r="30" spans="2:15" x14ac:dyDescent="0.25">
      <c r="B30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4">
    <cfRule type="dataBar" priority="1476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6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6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6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6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6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6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6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6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6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6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6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6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6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76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6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6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6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6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6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6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6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6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</conditionalFormatting>
  <conditionalFormatting sqref="E3:E15">
    <cfRule type="dataBar" priority="1477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7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76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3">
    <cfRule type="dataBar" priority="1477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{F45838FE-504A-4014-BCEF-AC2F5D7B163C}</x14:id>
        </ext>
      </extLst>
    </cfRule>
  </conditionalFormatting>
  <conditionalFormatting sqref="E15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6">
    <cfRule type="dataBar" priority="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19:E21"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3"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3 F19:F20">
    <cfRule type="dataBar" priority="1386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7:F23 F2">
    <cfRule type="dataBar" priority="140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19:F21 F23">
    <cfRule type="dataBar" priority="1387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3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F45838FE-504A-4014-BCEF-AC2F5D7B16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D27" sqref="D27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48000</v>
      </c>
      <c r="D4" s="3">
        <f>VLOOKUP(B4,'[1]元大(自己)'!$B$4:$D$13,3,0)</f>
        <v>176.5</v>
      </c>
      <c r="E4" s="2">
        <v>0</v>
      </c>
      <c r="F4" s="2">
        <f t="shared" ref="F4" si="0">C4*D4</f>
        <v>8472000</v>
      </c>
    </row>
    <row r="5" spans="2:6" x14ac:dyDescent="0.25">
      <c r="B5" s="7" t="s">
        <v>102</v>
      </c>
      <c r="C5" s="2">
        <v>0</v>
      </c>
      <c r="D5" s="3">
        <f>VLOOKUP(B5,'[1]元大(自己)'!$B$4:$D$13,3,0)</f>
        <v>692.32</v>
      </c>
      <c r="E5" s="2">
        <v>0</v>
      </c>
      <c r="F5" s="2">
        <f t="shared" ref="F5" si="1">C5*D5</f>
        <v>0</v>
      </c>
    </row>
    <row r="6" spans="2:6" x14ac:dyDescent="0.25">
      <c r="B6" s="7" t="s">
        <v>87</v>
      </c>
      <c r="C6" s="2">
        <f>128000+38000</f>
        <v>166000</v>
      </c>
      <c r="D6" s="3">
        <f>VLOOKUP(B6,'[1]元大(自己)'!$B$4:$D$13,3,0)</f>
        <v>36.950000000000003</v>
      </c>
      <c r="E6" s="2">
        <f>2413000+745000</f>
        <v>3158000</v>
      </c>
      <c r="F6" s="2">
        <f t="shared" ref="F6:F12" si="2">C6*D6</f>
        <v>6133700.0000000009</v>
      </c>
    </row>
    <row r="7" spans="2:6" x14ac:dyDescent="0.25">
      <c r="B7" s="7" t="s">
        <v>105</v>
      </c>
      <c r="C7" s="2">
        <v>1036</v>
      </c>
      <c r="D7" s="3">
        <f>VLOOKUP(B7,'[1]元大(自己)'!$B$4:$D$13,3,0)</f>
        <v>4785</v>
      </c>
      <c r="E7" s="2">
        <v>2907000</v>
      </c>
      <c r="F7" s="2">
        <f t="shared" ref="F7" si="3">C7*D7</f>
        <v>4957260</v>
      </c>
    </row>
    <row r="8" spans="2:6" x14ac:dyDescent="0.25">
      <c r="B8" s="7" t="s">
        <v>94</v>
      </c>
      <c r="C8" s="2">
        <v>33000</v>
      </c>
      <c r="D8" s="3">
        <f>VLOOKUP(B8,'[1]元大(自己)'!$B$4:$D$13,3,0)</f>
        <v>150</v>
      </c>
      <c r="E8" s="2">
        <v>2819000</v>
      </c>
      <c r="F8" s="2">
        <f t="shared" si="2"/>
        <v>4950000</v>
      </c>
    </row>
    <row r="9" spans="2:6" x14ac:dyDescent="0.25">
      <c r="B9" s="7" t="s">
        <v>100</v>
      </c>
      <c r="C9" s="2">
        <v>46000</v>
      </c>
      <c r="D9" s="3">
        <f>VLOOKUP(B9,'[1]元大(自己)'!$B$4:$D$13,3,0)</f>
        <v>114.5</v>
      </c>
      <c r="E9" s="2">
        <v>3169000</v>
      </c>
      <c r="F9" s="2">
        <f t="shared" ref="F9" si="4">C9*D9</f>
        <v>5267000</v>
      </c>
    </row>
    <row r="10" spans="2:6" x14ac:dyDescent="0.25">
      <c r="B10" s="7" t="s">
        <v>98</v>
      </c>
      <c r="C10" s="2">
        <v>4350</v>
      </c>
      <c r="D10" s="3">
        <f>VLOOKUP(B10,'[1]元大(自己)'!$B$4:$D$13,3,0)</f>
        <v>639</v>
      </c>
      <c r="E10" s="2">
        <v>0</v>
      </c>
      <c r="F10" s="2">
        <f t="shared" ref="F10" si="5">C10*D10</f>
        <v>2779650</v>
      </c>
    </row>
    <row r="11" spans="2:6" x14ac:dyDescent="0.25">
      <c r="B11" s="7" t="s">
        <v>92</v>
      </c>
      <c r="C11" s="2">
        <v>1246</v>
      </c>
      <c r="D11" s="3">
        <f>VLOOKUP(B11,'[1]元大(自己)'!$B$4:$D$13,3,0)</f>
        <v>2490</v>
      </c>
      <c r="E11" s="2">
        <v>0</v>
      </c>
      <c r="F11" s="2">
        <f t="shared" si="2"/>
        <v>3102540</v>
      </c>
    </row>
    <row r="12" spans="2:6" x14ac:dyDescent="0.25">
      <c r="B12" s="7" t="s">
        <v>88</v>
      </c>
      <c r="C12" s="2">
        <v>130000</v>
      </c>
      <c r="D12" s="3">
        <f>VLOOKUP(B12,'[1]元大(自己)'!$B$4:$D$13,3,0)</f>
        <v>41.15</v>
      </c>
      <c r="E12" s="2">
        <f>2408000+489000</f>
        <v>2897000</v>
      </c>
      <c r="F12" s="2">
        <f t="shared" si="2"/>
        <v>5349500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14950000</v>
      </c>
      <c r="F15" s="9">
        <f>SUM(F4:F12)</f>
        <v>41011650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647</v>
      </c>
      <c r="E18" s="132">
        <v>31.9</v>
      </c>
      <c r="F18" s="5"/>
    </row>
    <row r="19" spans="2:13" x14ac:dyDescent="0.25">
      <c r="B19" s="72" t="s">
        <v>44</v>
      </c>
      <c r="C19" s="8">
        <v>-360</v>
      </c>
      <c r="E19" s="5"/>
      <c r="F19" s="5"/>
    </row>
    <row r="20" spans="2:13" x14ac:dyDescent="0.25">
      <c r="B20" s="72" t="s">
        <v>45</v>
      </c>
      <c r="C20" s="8">
        <v>8051</v>
      </c>
      <c r="E20" s="5"/>
      <c r="F20" s="5"/>
    </row>
    <row r="21" spans="2:13" ht="17.25" thickBot="1" x14ac:dyDescent="0.3">
      <c r="B21" s="73" t="s">
        <v>46</v>
      </c>
      <c r="C21" s="74">
        <f>SUM(C18:C20)</f>
        <v>8338</v>
      </c>
      <c r="F21" s="129">
        <f>F24+期貨!C4</f>
        <v>26069988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26069988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17466891.960000001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1391.4636404089888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6">$H$28*F30/G30</f>
        <v>4326.2974321886459</v>
      </c>
      <c r="I30">
        <v>4</v>
      </c>
      <c r="J30">
        <f t="shared" ref="J30:J44" si="7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6"/>
        <v>844.36543633909093</v>
      </c>
      <c r="I31">
        <v>1</v>
      </c>
      <c r="J31">
        <f t="shared" si="7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6"/>
        <v>3820.2652132565554</v>
      </c>
      <c r="I32">
        <v>4</v>
      </c>
      <c r="J32">
        <f t="shared" si="7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6"/>
        <v>2902.5061874156249</v>
      </c>
      <c r="I33">
        <v>3</v>
      </c>
      <c r="J33">
        <f t="shared" si="7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6"/>
        <v>5618.461882634404</v>
      </c>
      <c r="I34">
        <v>5</v>
      </c>
      <c r="J34">
        <f t="shared" si="7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6"/>
        <v>269.21796520956519</v>
      </c>
      <c r="I35">
        <v>0.3</v>
      </c>
      <c r="J35">
        <f t="shared" si="7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6"/>
        <v>3715.2079198920001</v>
      </c>
      <c r="I36">
        <v>4</v>
      </c>
      <c r="J36">
        <f t="shared" si="7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6"/>
        <v>6140.8395370115704</v>
      </c>
      <c r="I37">
        <v>6</v>
      </c>
      <c r="J37">
        <f t="shared" si="7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6"/>
        <v>3392.8839451068493</v>
      </c>
      <c r="I38">
        <v>3</v>
      </c>
      <c r="J38">
        <f t="shared" si="7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6"/>
        <v>8015.5510677281545</v>
      </c>
      <c r="I39">
        <v>7</v>
      </c>
      <c r="J39">
        <f t="shared" si="7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6"/>
        <v>5693.8052412137931</v>
      </c>
      <c r="I40">
        <v>5</v>
      </c>
      <c r="J40">
        <f t="shared" si="7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6"/>
        <v>1021.3630020321649</v>
      </c>
      <c r="I41">
        <v>1</v>
      </c>
      <c r="J41">
        <f t="shared" si="7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6"/>
        <v>895.23082407036145</v>
      </c>
      <c r="I42">
        <v>1</v>
      </c>
      <c r="J42">
        <f t="shared" si="7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6"/>
        <v>3287.794619373451</v>
      </c>
      <c r="I43">
        <v>3</v>
      </c>
      <c r="J43">
        <f t="shared" si="7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6"/>
        <v>772.39249893804572</v>
      </c>
      <c r="I44">
        <v>1</v>
      </c>
      <c r="J44">
        <f t="shared" si="7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2026-09-07T05:35:29Z</dcterms:modified>
  <cp:category/>
  <cp:contentStatus/>
</cp:coreProperties>
</file>